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893552B5-94AC-4AF2-B953-3047D59FE0DB}" xr6:coauthVersionLast="47" xr6:coauthVersionMax="47" xr10:uidLastSave="{00000000-0000-0000-0000-000000000000}"/>
  <bookViews>
    <workbookView xWindow="-108" yWindow="-108" windowWidth="23256" windowHeight="13176" tabRatio="695" xr2:uid="{00000000-000D-0000-FFFF-FFFF00000000}"/>
  </bookViews>
  <sheets>
    <sheet name="Cover" sheetId="1" r:id="rId1"/>
    <sheet name="Dashboard" sheetId="2" r:id="rId2"/>
    <sheet name="Raw Data" sheetId="3" r:id="rId3"/>
    <sheet name="Artist Analysis" sheetId="4" r:id="rId4"/>
    <sheet name="Genre Analysis" sheetId="5" r:id="rId5"/>
    <sheet name="Audio Features" sheetId="6" r:id="rId6"/>
    <sheet name="Year Trend" sheetId="7" r:id="rId7"/>
    <sheet name="Summary" sheetId="8" r:id="rId8"/>
    <sheet name="Calculations" sheetId="9" r:id="rId9"/>
  </sheets>
  <definedNames>
    <definedName name="_xlnm._FilterDatabase" localSheetId="2" hidden="1">'Raw Data'!$A$4:$M$4</definedName>
    <definedName name="_xlnm.Print_Area" localSheetId="3">'Artist Analysis'!$A$1:$H$16</definedName>
    <definedName name="_xlnm.Print_Area" localSheetId="5">'Audio Features'!$A$1:$E$24</definedName>
    <definedName name="_xlnm.Print_Area" localSheetId="8">Calculations!$A$1:$N$105</definedName>
    <definedName name="_xlnm.Print_Area" localSheetId="0">Cover!$A$1:$L$26</definedName>
    <definedName name="_xlnm.Print_Area" localSheetId="1">Dashboard!$A$1:$P$74</definedName>
    <definedName name="_xlnm.Print_Area" localSheetId="4">'Genre Analysis'!$A$1:$F$13</definedName>
    <definedName name="_xlnm.Print_Area" localSheetId="2">'Raw Data'!$A$1:$M$104</definedName>
    <definedName name="_xlnm.Print_Area" localSheetId="7">Summary!$A$1:$H$28</definedName>
    <definedName name="_xlnm.Print_Area" localSheetId="6">'Year Trend'!$A$1:$E$9</definedName>
    <definedName name="_xlnm.Print_Titles" localSheetId="3">'Artist Analysis'!$4:$4</definedName>
    <definedName name="_xlnm.Print_Titles" localSheetId="8">Calculations!$5:$5</definedName>
    <definedName name="_xlnm.Print_Titles" localSheetId="4">'Genre Analysis'!$4:$4</definedName>
    <definedName name="_xlnm.Print_Titles" localSheetId="2">'Raw Data'!$4:$4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8" i="8" l="1"/>
  <c r="B10" i="8"/>
  <c r="B9" i="8"/>
  <c r="N105" i="9"/>
  <c r="M105" i="9"/>
  <c r="N104" i="9"/>
  <c r="M104" i="9"/>
  <c r="N103" i="9"/>
  <c r="M103" i="9"/>
  <c r="N102" i="9"/>
  <c r="M102" i="9"/>
  <c r="N101" i="9"/>
  <c r="M101" i="9"/>
  <c r="N100" i="9"/>
  <c r="M100" i="9"/>
  <c r="N99" i="9"/>
  <c r="M99" i="9"/>
  <c r="N98" i="9"/>
  <c r="M98" i="9"/>
  <c r="N97" i="9"/>
  <c r="M97" i="9"/>
  <c r="N96" i="9"/>
  <c r="M96" i="9"/>
  <c r="N95" i="9"/>
  <c r="M95" i="9"/>
  <c r="N94" i="9"/>
  <c r="M94" i="9"/>
  <c r="N93" i="9"/>
  <c r="M93" i="9"/>
  <c r="N92" i="9"/>
  <c r="M92" i="9"/>
  <c r="N91" i="9"/>
  <c r="M91" i="9"/>
  <c r="N90" i="9"/>
  <c r="M90" i="9"/>
  <c r="N89" i="9"/>
  <c r="M89" i="9"/>
  <c r="N88" i="9"/>
  <c r="M88" i="9"/>
  <c r="N87" i="9"/>
  <c r="M87" i="9"/>
  <c r="N86" i="9"/>
  <c r="M86" i="9"/>
  <c r="N85" i="9"/>
  <c r="M85" i="9"/>
  <c r="N84" i="9"/>
  <c r="M84" i="9"/>
  <c r="N83" i="9"/>
  <c r="M83" i="9"/>
  <c r="N82" i="9"/>
  <c r="M82" i="9"/>
  <c r="N81" i="9"/>
  <c r="M81" i="9"/>
  <c r="N80" i="9"/>
  <c r="M80" i="9"/>
  <c r="N79" i="9"/>
  <c r="M79" i="9"/>
  <c r="N78" i="9"/>
  <c r="M78" i="9"/>
  <c r="N77" i="9"/>
  <c r="M77" i="9"/>
  <c r="N76" i="9"/>
  <c r="M76" i="9"/>
  <c r="N75" i="9"/>
  <c r="M75" i="9"/>
  <c r="N74" i="9"/>
  <c r="M74" i="9"/>
  <c r="N73" i="9"/>
  <c r="M73" i="9"/>
  <c r="N72" i="9"/>
  <c r="M72" i="9"/>
  <c r="N71" i="9"/>
  <c r="M71" i="9"/>
  <c r="N70" i="9"/>
  <c r="M70" i="9"/>
  <c r="N69" i="9"/>
  <c r="M69" i="9"/>
  <c r="N68" i="9"/>
  <c r="M68" i="9"/>
  <c r="N67" i="9"/>
  <c r="M67" i="9"/>
  <c r="N66" i="9"/>
  <c r="M66" i="9"/>
  <c r="N65" i="9"/>
  <c r="M65" i="9"/>
  <c r="N64" i="9"/>
  <c r="M64" i="9"/>
  <c r="N63" i="9"/>
  <c r="M63" i="9"/>
  <c r="N62" i="9"/>
  <c r="M62" i="9"/>
  <c r="N61" i="9"/>
  <c r="M61" i="9"/>
  <c r="N60" i="9"/>
  <c r="M60" i="9"/>
  <c r="N59" i="9"/>
  <c r="M59" i="9"/>
  <c r="N58" i="9"/>
  <c r="M58" i="9"/>
  <c r="N57" i="9"/>
  <c r="M57" i="9"/>
  <c r="N56" i="9"/>
  <c r="M56" i="9"/>
  <c r="N55" i="9"/>
  <c r="M55" i="9"/>
  <c r="N54" i="9"/>
  <c r="M54" i="9"/>
  <c r="N53" i="9"/>
  <c r="M53" i="9"/>
  <c r="N52" i="9"/>
  <c r="M52" i="9"/>
  <c r="N51" i="9"/>
  <c r="M51" i="9"/>
  <c r="N50" i="9"/>
  <c r="M50" i="9"/>
  <c r="N49" i="9"/>
  <c r="M49" i="9"/>
  <c r="N48" i="9"/>
  <c r="M48" i="9"/>
  <c r="N47" i="9"/>
  <c r="M47" i="9"/>
  <c r="N46" i="9"/>
  <c r="M46" i="9"/>
  <c r="N45" i="9"/>
  <c r="M45" i="9"/>
  <c r="N44" i="9"/>
  <c r="M44" i="9"/>
  <c r="N43" i="9"/>
  <c r="M43" i="9"/>
  <c r="N42" i="9"/>
  <c r="M42" i="9"/>
  <c r="N41" i="9"/>
  <c r="M41" i="9"/>
  <c r="N40" i="9"/>
  <c r="M40" i="9"/>
  <c r="N39" i="9"/>
  <c r="M39" i="9"/>
  <c r="N38" i="9"/>
  <c r="M38" i="9"/>
  <c r="N37" i="9"/>
  <c r="M37" i="9"/>
  <c r="N36" i="9"/>
  <c r="M36" i="9"/>
  <c r="N35" i="9"/>
  <c r="M35" i="9"/>
  <c r="N34" i="9"/>
  <c r="M34" i="9"/>
  <c r="N33" i="9"/>
  <c r="M33" i="9"/>
  <c r="N32" i="9"/>
  <c r="M32" i="9"/>
  <c r="N31" i="9"/>
  <c r="M31" i="9"/>
  <c r="N30" i="9"/>
  <c r="M30" i="9"/>
  <c r="N29" i="9"/>
  <c r="M29" i="9"/>
  <c r="N28" i="9"/>
  <c r="M28" i="9"/>
  <c r="N27" i="9"/>
  <c r="M27" i="9"/>
  <c r="N26" i="9"/>
  <c r="M26" i="9"/>
  <c r="N25" i="9"/>
  <c r="M25" i="9"/>
  <c r="N24" i="9"/>
  <c r="M24" i="9"/>
  <c r="N23" i="9"/>
  <c r="M23" i="9"/>
  <c r="N22" i="9"/>
  <c r="M22" i="9"/>
  <c r="N21" i="9"/>
  <c r="M21" i="9"/>
  <c r="N20" i="9"/>
  <c r="M20" i="9"/>
  <c r="N19" i="9"/>
  <c r="M19" i="9"/>
  <c r="N18" i="9"/>
  <c r="M18" i="9"/>
  <c r="N17" i="9"/>
  <c r="M17" i="9"/>
  <c r="N16" i="9"/>
  <c r="M16" i="9"/>
  <c r="N15" i="9"/>
  <c r="M15" i="9"/>
  <c r="A15" i="9"/>
  <c r="N14" i="9"/>
  <c r="M14" i="9"/>
  <c r="D14" i="9"/>
  <c r="A14" i="9"/>
  <c r="N13" i="9"/>
  <c r="M13" i="9"/>
  <c r="D13" i="9"/>
  <c r="A13" i="9"/>
  <c r="N12" i="9"/>
  <c r="M12" i="9"/>
  <c r="D12" i="9"/>
  <c r="A12" i="9"/>
  <c r="N11" i="9"/>
  <c r="M11" i="9"/>
  <c r="D11" i="9"/>
  <c r="A11" i="9"/>
  <c r="N10" i="9"/>
  <c r="M10" i="9"/>
  <c r="J10" i="9"/>
  <c r="G10" i="9"/>
  <c r="D10" i="9"/>
  <c r="A10" i="9"/>
  <c r="N9" i="9"/>
  <c r="M9" i="9"/>
  <c r="J9" i="9"/>
  <c r="G9" i="9"/>
  <c r="D9" i="9"/>
  <c r="A9" i="9"/>
  <c r="N8" i="9"/>
  <c r="M8" i="9"/>
  <c r="J8" i="9"/>
  <c r="G8" i="9"/>
  <c r="D8" i="9"/>
  <c r="A8" i="9"/>
  <c r="N7" i="9"/>
  <c r="M7" i="9"/>
  <c r="J7" i="9"/>
  <c r="G7" i="9"/>
  <c r="D7" i="9"/>
  <c r="A7" i="9"/>
  <c r="Q6" i="9"/>
  <c r="N6" i="9"/>
  <c r="M6" i="9"/>
  <c r="J6" i="9"/>
  <c r="G6" i="9"/>
  <c r="D6" i="9"/>
  <c r="A6" i="9"/>
  <c r="Q5" i="9"/>
  <c r="A14" i="2" s="1"/>
  <c r="B11" i="8"/>
  <c r="G8" i="8"/>
  <c r="G7" i="8"/>
  <c r="G6" i="8"/>
  <c r="B6" i="8"/>
  <c r="C9" i="7"/>
  <c r="B9" i="7"/>
  <c r="E9" i="7" s="1"/>
  <c r="C8" i="7"/>
  <c r="B8" i="7"/>
  <c r="E8" i="7" s="1"/>
  <c r="C7" i="7"/>
  <c r="B7" i="7"/>
  <c r="E7" i="7" s="1"/>
  <c r="C6" i="7"/>
  <c r="B6" i="7"/>
  <c r="E6" i="7" s="1"/>
  <c r="C5" i="7"/>
  <c r="B5" i="7"/>
  <c r="E5" i="7" s="1"/>
  <c r="D24" i="6"/>
  <c r="C24" i="6"/>
  <c r="B24" i="6"/>
  <c r="D23" i="6"/>
  <c r="C23" i="6"/>
  <c r="B23" i="6"/>
  <c r="D22" i="6"/>
  <c r="C22" i="6"/>
  <c r="B22" i="6"/>
  <c r="D21" i="6"/>
  <c r="C21" i="6"/>
  <c r="B21" i="6"/>
  <c r="D10" i="6"/>
  <c r="C10" i="6"/>
  <c r="B10" i="6"/>
  <c r="D9" i="6"/>
  <c r="C9" i="6"/>
  <c r="B9" i="6"/>
  <c r="D8" i="6"/>
  <c r="C8" i="6"/>
  <c r="B8" i="6"/>
  <c r="D7" i="6"/>
  <c r="C7" i="6"/>
  <c r="B7" i="6"/>
  <c r="D6" i="6"/>
  <c r="C6" i="6"/>
  <c r="B6" i="6"/>
  <c r="D12" i="5"/>
  <c r="C12" i="5"/>
  <c r="B12" i="5"/>
  <c r="D11" i="5"/>
  <c r="C11" i="5"/>
  <c r="B11" i="5"/>
  <c r="D10" i="5"/>
  <c r="C10" i="5"/>
  <c r="B10" i="5"/>
  <c r="D9" i="5"/>
  <c r="C9" i="5"/>
  <c r="B9" i="5"/>
  <c r="D8" i="5"/>
  <c r="C8" i="5"/>
  <c r="B8" i="5"/>
  <c r="D7" i="5"/>
  <c r="C7" i="5"/>
  <c r="B7" i="5"/>
  <c r="D6" i="5"/>
  <c r="C6" i="5"/>
  <c r="B6" i="5"/>
  <c r="D5" i="5"/>
  <c r="C5" i="5"/>
  <c r="B5" i="5"/>
  <c r="F16" i="4"/>
  <c r="E16" i="4"/>
  <c r="C16" i="4"/>
  <c r="B16" i="4"/>
  <c r="F15" i="4"/>
  <c r="E15" i="4"/>
  <c r="C15" i="4"/>
  <c r="B15" i="4"/>
  <c r="F14" i="4"/>
  <c r="E14" i="4"/>
  <c r="C14" i="4"/>
  <c r="B14" i="4"/>
  <c r="F13" i="4"/>
  <c r="E13" i="4"/>
  <c r="C13" i="4"/>
  <c r="B13" i="4"/>
  <c r="F12" i="4"/>
  <c r="E12" i="4"/>
  <c r="C12" i="4"/>
  <c r="B12" i="4"/>
  <c r="F11" i="4"/>
  <c r="E11" i="4"/>
  <c r="C11" i="4"/>
  <c r="B11" i="4"/>
  <c r="F10" i="4"/>
  <c r="E10" i="4"/>
  <c r="C10" i="4"/>
  <c r="B10" i="4"/>
  <c r="F9" i="4"/>
  <c r="E9" i="4"/>
  <c r="C9" i="4"/>
  <c r="G9" i="4" s="1"/>
  <c r="B9" i="4"/>
  <c r="F8" i="4"/>
  <c r="E8" i="4"/>
  <c r="C8" i="4"/>
  <c r="B8" i="4"/>
  <c r="F7" i="4"/>
  <c r="E7" i="4"/>
  <c r="C7" i="4"/>
  <c r="B7" i="4"/>
  <c r="F6" i="4"/>
  <c r="E6" i="4"/>
  <c r="C6" i="4"/>
  <c r="B6" i="4"/>
  <c r="F5" i="4"/>
  <c r="E5" i="4"/>
  <c r="C5" i="4"/>
  <c r="B5" i="4"/>
  <c r="P69" i="2"/>
  <c r="O69" i="2"/>
  <c r="M69" i="2"/>
  <c r="K69" i="2"/>
  <c r="G69" i="2"/>
  <c r="C69" i="2"/>
  <c r="A69" i="2"/>
  <c r="P68" i="2"/>
  <c r="O68" i="2"/>
  <c r="M68" i="2"/>
  <c r="K68" i="2"/>
  <c r="G68" i="2"/>
  <c r="C68" i="2"/>
  <c r="A68" i="2"/>
  <c r="P67" i="2"/>
  <c r="O67" i="2"/>
  <c r="M67" i="2"/>
  <c r="K67" i="2"/>
  <c r="G67" i="2"/>
  <c r="C67" i="2"/>
  <c r="A67" i="2"/>
  <c r="P66" i="2"/>
  <c r="O66" i="2"/>
  <c r="M66" i="2"/>
  <c r="K66" i="2"/>
  <c r="G66" i="2"/>
  <c r="C66" i="2"/>
  <c r="A66" i="2"/>
  <c r="P65" i="2"/>
  <c r="O65" i="2"/>
  <c r="M65" i="2"/>
  <c r="K65" i="2"/>
  <c r="G65" i="2"/>
  <c r="C65" i="2"/>
  <c r="A65" i="2"/>
  <c r="P64" i="2"/>
  <c r="O64" i="2"/>
  <c r="M64" i="2"/>
  <c r="K64" i="2"/>
  <c r="G64" i="2"/>
  <c r="C64" i="2"/>
  <c r="A64" i="2"/>
  <c r="P63" i="2"/>
  <c r="O63" i="2"/>
  <c r="M63" i="2"/>
  <c r="K63" i="2"/>
  <c r="G63" i="2"/>
  <c r="C63" i="2"/>
  <c r="A63" i="2"/>
  <c r="P62" i="2"/>
  <c r="O62" i="2"/>
  <c r="M62" i="2"/>
  <c r="K62" i="2"/>
  <c r="G62" i="2"/>
  <c r="C62" i="2"/>
  <c r="A62" i="2"/>
  <c r="P61" i="2"/>
  <c r="O61" i="2"/>
  <c r="M61" i="2"/>
  <c r="K61" i="2"/>
  <c r="G61" i="2"/>
  <c r="C61" i="2"/>
  <c r="A61" i="2"/>
  <c r="P60" i="2"/>
  <c r="O60" i="2"/>
  <c r="M60" i="2"/>
  <c r="K60" i="2"/>
  <c r="G60" i="2"/>
  <c r="C60" i="2"/>
  <c r="A60" i="2"/>
  <c r="M17" i="2"/>
  <c r="J17" i="2"/>
  <c r="G17" i="2"/>
  <c r="D17" i="2"/>
  <c r="A17" i="2"/>
  <c r="A7" i="1"/>
  <c r="I7" i="1" l="1"/>
  <c r="I7" i="9"/>
  <c r="I7" i="8"/>
  <c r="I7" i="7"/>
  <c r="I7" i="6"/>
  <c r="I7" i="5"/>
  <c r="I7" i="4"/>
  <c r="I7" i="3"/>
  <c r="I7" i="2"/>
  <c r="R6" i="9"/>
  <c r="F14" i="2"/>
  <c r="R5" i="9"/>
  <c r="F6" i="5"/>
  <c r="B13" i="5"/>
  <c r="D13" i="5" s="1"/>
  <c r="D9" i="7"/>
  <c r="H10" i="9"/>
  <c r="H9" i="9"/>
  <c r="D8" i="7"/>
  <c r="H8" i="9"/>
  <c r="D7" i="7"/>
  <c r="H7" i="9"/>
  <c r="D6" i="7"/>
  <c r="H6" i="9"/>
  <c r="D5" i="7"/>
  <c r="E10" i="6"/>
  <c r="K10" i="9"/>
  <c r="E9" i="6"/>
  <c r="K9" i="9"/>
  <c r="E8" i="6"/>
  <c r="K8" i="9"/>
  <c r="K7" i="9"/>
  <c r="E7" i="6"/>
  <c r="K6" i="9"/>
  <c r="E6" i="6"/>
  <c r="E13" i="9"/>
  <c r="E12" i="5"/>
  <c r="F12" i="5"/>
  <c r="E12" i="9"/>
  <c r="F11" i="5"/>
  <c r="E11" i="5"/>
  <c r="E10" i="5"/>
  <c r="E11" i="9"/>
  <c r="F10" i="5"/>
  <c r="E10" i="9"/>
  <c r="E9" i="5"/>
  <c r="F9" i="5"/>
  <c r="E9" i="9"/>
  <c r="E8" i="5"/>
  <c r="F8" i="5"/>
  <c r="C13" i="5"/>
  <c r="E8" i="9"/>
  <c r="F7" i="5"/>
  <c r="E7" i="5"/>
  <c r="E7" i="9"/>
  <c r="E6" i="5"/>
  <c r="E5" i="5"/>
  <c r="F5" i="5"/>
  <c r="E6" i="9"/>
  <c r="H16" i="4"/>
  <c r="D16" i="4"/>
  <c r="G16" i="4"/>
  <c r="G15" i="4"/>
  <c r="H15" i="4"/>
  <c r="D15" i="4"/>
  <c r="G14" i="4"/>
  <c r="H14" i="4"/>
  <c r="D14" i="4"/>
  <c r="B15" i="9"/>
  <c r="B14" i="9"/>
  <c r="G13" i="4"/>
  <c r="H13" i="4"/>
  <c r="D13" i="4"/>
  <c r="D12" i="4"/>
  <c r="H12" i="4"/>
  <c r="G12" i="4"/>
  <c r="B13" i="9"/>
  <c r="H11" i="4"/>
  <c r="D11" i="4"/>
  <c r="B12" i="9"/>
  <c r="G11" i="4"/>
  <c r="B11" i="9"/>
  <c r="H10" i="4"/>
  <c r="D10" i="4"/>
  <c r="G10" i="4"/>
  <c r="D9" i="4"/>
  <c r="B10" i="9"/>
  <c r="H8" i="4"/>
  <c r="G8" i="4"/>
  <c r="D8" i="4"/>
  <c r="B9" i="9"/>
  <c r="H7" i="4"/>
  <c r="G7" i="4"/>
  <c r="D7" i="4"/>
  <c r="B8" i="9"/>
  <c r="D6" i="4"/>
  <c r="B7" i="9"/>
  <c r="G6" i="4"/>
  <c r="H6" i="4"/>
  <c r="H9" i="4"/>
  <c r="H5" i="4"/>
  <c r="D5" i="4"/>
  <c r="B6" i="9"/>
  <c r="G5" i="4"/>
  <c r="B7" i="8"/>
  <c r="E7" i="1"/>
  <c r="E13" i="5" l="1"/>
  <c r="E14" i="9"/>
  <c r="B16" i="6" l="1"/>
  <c r="E16" i="6"/>
  <c r="Q7" i="9"/>
  <c r="C16" i="6"/>
  <c r="E15" i="6"/>
  <c r="D16" i="6"/>
  <c r="B15" i="6"/>
  <c r="C15" i="6"/>
  <c r="D15" i="6"/>
  <c r="R7" i="9" l="1"/>
  <c r="K14" i="2"/>
</calcChain>
</file>

<file path=xl/sharedStrings.xml><?xml version="1.0" encoding="utf-8"?>
<sst xmlns="http://schemas.openxmlformats.org/spreadsheetml/2006/main" count="706" uniqueCount="378">
  <si>
    <t>SPOTIFY TOP 100 — MUSIC TREND ANALYTICS</t>
  </si>
  <si>
    <t>Analisis Tren Musik  •  Spotify All-Time Top 100  •  Data Analyst Portfolio Project</t>
  </si>
  <si>
    <t>Disusun oleh Rifal Azhar Permana</t>
  </si>
  <si>
    <t>TOTAL LAGU DIANALISIS</t>
  </si>
  <si>
    <t>TOTAL ARTIS UNIK</t>
  </si>
  <si>
    <t>TOTAL STREAMS</t>
  </si>
  <si>
    <t>WHAT THIS FILE DEMONSTRATES</t>
  </si>
  <si>
    <t>•  Saya menemukan dan memperbaiki bug data cleaning: 5 kolom numerik (total streams, danceability, energy, valence, acousticness) rusak karena salah dibaca sebagai format jam oleh Excel — saya rekonstruksi ulang nilainya dengan formula matematis, bukan asal hapus datanya.</t>
  </si>
  <si>
    <t>•  Seluruh dashboard dibangun dengan formula hidup (SUMIF, COUNTIF, AVERAGEIF, SUMPRODUCT, RANK) — filter genre di Dashboard langsung mengubah semua KPI card secara otomatis.</t>
  </si>
  <si>
    <t>•  Chart BPM vs Streams memakai scatter plot dari 100 data asli (bukan data rata-rata), untuk menunjukkan hubungan tempo lagu dengan popularitasnya secara jujur.</t>
  </si>
  <si>
    <t>Kontak: rifalazharpermana@gmail.com  •  https://www.linkedin.com/in/rifalazharpermana/  •  Sumber data: Kaggle Spotify Wrapped Dataset</t>
  </si>
  <si>
    <t>WORKBOOK STRUCTURE</t>
  </si>
  <si>
    <t>TEKNIK &amp; FORMULA YANG DIPAKAI</t>
  </si>
  <si>
    <t>Dashboard</t>
  </si>
  <si>
    <t>KPI interaktif, donut gauge, 4 chart, filter genre</t>
  </si>
  <si>
    <t>✓  SUMIF / SUMIFS — agregasi data per kategori</t>
  </si>
  <si>
    <t>Raw Data</t>
  </si>
  <si>
    <t>100 lagu — data mentah yang sudah dibersihkan</t>
  </si>
  <si>
    <t>✓  COUNTIF / COUNTIFS — hitung distribusi &amp; bucket</t>
  </si>
  <si>
    <t>Artist Analysis</t>
  </si>
  <si>
    <t>Peringkat 12 artis teratas berdasarkan streams</t>
  </si>
  <si>
    <t>✓  AVERAGEIF / AVERAGEIFS — rata-rata bersyarat</t>
  </si>
  <si>
    <t>Genre Analysis</t>
  </si>
  <si>
    <t>Breakdown 8 genre teratas + kategori "Lainnya"</t>
  </si>
  <si>
    <t>✓  SUMPRODUCT — hitung unique count &amp; weighted average</t>
  </si>
  <si>
    <t>Audio Features</t>
  </si>
  <si>
    <t>Analisis BPM, danceability, energy, explicit vs clean</t>
  </si>
  <si>
    <t>✓  RANK, INDEX/MATCH — peringkat &amp; pencarian dinamis</t>
  </si>
  <si>
    <t>Year Trend</t>
  </si>
  <si>
    <t>Sebaran lagu per dekade rilis</t>
  </si>
  <si>
    <t>✓  Data Validation — dropdown filter interaktif</t>
  </si>
  <si>
    <t>Summary</t>
  </si>
  <si>
    <t>Ringkasan metrik kunci + 5 insight tajam</t>
  </si>
  <si>
    <t>✓  Conditional formatting &amp; chart interaktif (bar, pie, scatter, donut)</t>
  </si>
  <si>
    <t>Calculations</t>
  </si>
  <si>
    <t>Tabel bantu yang menyalurkan data ke chart</t>
  </si>
  <si>
    <t>DASHBOARD ANALISIS TREN MUSIK SPOTIFY</t>
  </si>
  <si>
    <t>Spotify Top 100 All-Time  •  Periode Data: Terbaru (2025/2026)  •  Prepared by Rifal Azhar Permana</t>
  </si>
  <si>
    <t>Genre</t>
  </si>
  <si>
    <t>Semua Genre</t>
  </si>
  <si>
    <t>Pilih genre untuk memfilter KPI card &amp; donut gauge. Chart utama selalu menampilkan seluruh data Top 100.</t>
  </si>
  <si>
    <t>RINGKASAN KARAKTER MUSIK (RATA-RATA TOP 100)</t>
  </si>
  <si>
    <t>Rata-rata Danceability</t>
  </si>
  <si>
    <t>Rata-rata Energy</t>
  </si>
  <si>
    <t>Lagu Bermuatan Eksplisit</t>
  </si>
  <si>
    <t>TOTAL LAGU</t>
  </si>
  <si>
    <t>TOTAL STREAMS (MILIAR)</t>
  </si>
  <si>
    <t>RATA-RATA BPM</t>
  </si>
  <si>
    <t>GENRE TERPOPULER</t>
  </si>
  <si>
    <t>TOP 10 ARTIS BERDASARKAN TOTAL STREAMS</t>
  </si>
  <si>
    <t>DISTRIBUSI GENRE (BERDASARKAN STREAMS)</t>
  </si>
  <si>
    <t>TREN JUMLAH LAGU BERDASARKAN DEKADE RILIS</t>
  </si>
  <si>
    <t>HUBUNGAN TEMPO (BPM) VS TOTAL STREAMS</t>
  </si>
  <si>
    <t>TOP 10 TRACKS</t>
  </si>
  <si>
    <t>Rank</t>
  </si>
  <si>
    <t>Judul Lagu</t>
  </si>
  <si>
    <t>Artis</t>
  </si>
  <si>
    <t>Streams (Miliar)</t>
  </si>
  <si>
    <t>BPM</t>
  </si>
  <si>
    <t>Tahun</t>
  </si>
  <si>
    <t>KEY FINDINGS</t>
  </si>
  <si>
    <t>Gunakan filter genre di atas untuk membandingkan performa. Detail lengkap analisis artis, genre, tren dekade, dan audio feature ada di sheet analisis masing-masing.</t>
  </si>
  <si>
    <t>SPOTIFY TOP 100 — RAW DATA</t>
  </si>
  <si>
    <t>Sumber: Kaggle - Spotify Wrapped Dataset (dibersihkan)  •  100 lagu, periode rilis 1985-2024</t>
  </si>
  <si>
    <t>Total Streams (Miliar)</t>
  </si>
  <si>
    <t>Tahun Rilis</t>
  </si>
  <si>
    <t>Negara Asal</t>
  </si>
  <si>
    <t>Explicit</t>
  </si>
  <si>
    <t>Danceability</t>
  </si>
  <si>
    <t>Energy</t>
  </si>
  <si>
    <t>Valence</t>
  </si>
  <si>
    <t>Acousticness</t>
  </si>
  <si>
    <t>Blinding Lights</t>
  </si>
  <si>
    <t>The Weeknd</t>
  </si>
  <si>
    <t>Synth-Pop</t>
  </si>
  <si>
    <t>Canada</t>
  </si>
  <si>
    <t>Tidak</t>
  </si>
  <si>
    <t>Shape of You</t>
  </si>
  <si>
    <t>Ed Sheeran</t>
  </si>
  <si>
    <t>Pop/Dancehall</t>
  </si>
  <si>
    <t>UK</t>
  </si>
  <si>
    <t>Someone You Loved</t>
  </si>
  <si>
    <t>Lewis Capaldi</t>
  </si>
  <si>
    <t>Pop</t>
  </si>
  <si>
    <t>Sunflower</t>
  </si>
  <si>
    <t>Post Malone &amp; Swae Lee</t>
  </si>
  <si>
    <t>Hip-Hop/Pop</t>
  </si>
  <si>
    <t>USA</t>
  </si>
  <si>
    <t>One Dance</t>
  </si>
  <si>
    <t>Drake</t>
  </si>
  <si>
    <t>Afrobeats/Pop</t>
  </si>
  <si>
    <t>Stay</t>
  </si>
  <si>
    <t>The Kid LAROI &amp; Justin Bieber</t>
  </si>
  <si>
    <t>Australia</t>
  </si>
  <si>
    <t>Ya</t>
  </si>
  <si>
    <t>Believer</t>
  </si>
  <si>
    <t>Imagine Dragons</t>
  </si>
  <si>
    <t>Alt Rock</t>
  </si>
  <si>
    <t>Rockstar</t>
  </si>
  <si>
    <t>Post Malone ft. 21 Savage</t>
  </si>
  <si>
    <t>Hip-Hop</t>
  </si>
  <si>
    <t>Dance Monkey</t>
  </si>
  <si>
    <t>Tones and I</t>
  </si>
  <si>
    <t>Happier</t>
  </si>
  <si>
    <t>Marshmello &amp; Bastille</t>
  </si>
  <si>
    <t>EDM/Pop</t>
  </si>
  <si>
    <t>USA/UK</t>
  </si>
  <si>
    <t>Senorita</t>
  </si>
  <si>
    <t>Shawn Mendes &amp; Camila Cabello</t>
  </si>
  <si>
    <t>Latin Pop</t>
  </si>
  <si>
    <t>Canada/Cuba</t>
  </si>
  <si>
    <t>Watermelon Sugar</t>
  </si>
  <si>
    <t>Harry Styles</t>
  </si>
  <si>
    <t>Indie Pop</t>
  </si>
  <si>
    <t>Perfect</t>
  </si>
  <si>
    <t>Pop/Folk</t>
  </si>
  <si>
    <t>Levitating</t>
  </si>
  <si>
    <t>Dua Lipa</t>
  </si>
  <si>
    <t>Nu-Disco</t>
  </si>
  <si>
    <t>Heat Waves</t>
  </si>
  <si>
    <t>Glass Animals</t>
  </si>
  <si>
    <t>Bad Guy</t>
  </si>
  <si>
    <t>Billie Eilish</t>
  </si>
  <si>
    <t>Electropop</t>
  </si>
  <si>
    <t>Drivers License</t>
  </si>
  <si>
    <t>Olivia Rodrigo</t>
  </si>
  <si>
    <t>Circles</t>
  </si>
  <si>
    <t>Post Malone</t>
  </si>
  <si>
    <t>Pop Rap</t>
  </si>
  <si>
    <t>Memories</t>
  </si>
  <si>
    <t>Maroon 5</t>
  </si>
  <si>
    <t>Shallow</t>
  </si>
  <si>
    <t>Lady Gaga &amp; Bradley Cooper</t>
  </si>
  <si>
    <t>Pop/Country</t>
  </si>
  <si>
    <t>As It Was</t>
  </si>
  <si>
    <t>Dynamite</t>
  </si>
  <si>
    <t>BTS</t>
  </si>
  <si>
    <t>Pop/Funk</t>
  </si>
  <si>
    <t>South Korea</t>
  </si>
  <si>
    <t>Flowers</t>
  </si>
  <si>
    <t>Miley Cyrus</t>
  </si>
  <si>
    <t>Counting Stars</t>
  </si>
  <si>
    <t>OneRepublic</t>
  </si>
  <si>
    <t>Pop Rock</t>
  </si>
  <si>
    <t>Lucid Dreams</t>
  </si>
  <si>
    <t>Juice WRLD</t>
  </si>
  <si>
    <t>Emo Rap</t>
  </si>
  <si>
    <t>Closer</t>
  </si>
  <si>
    <t>The Chainsmokers ft. Halsey</t>
  </si>
  <si>
    <t>Calm Down</t>
  </si>
  <si>
    <t>Rema &amp; Selena Gomez</t>
  </si>
  <si>
    <t>Nigeria/USA</t>
  </si>
  <si>
    <t>Anti-Hero</t>
  </si>
  <si>
    <t>Taylor Swift</t>
  </si>
  <si>
    <t>Save Your Tears</t>
  </si>
  <si>
    <t>Die For You</t>
  </si>
  <si>
    <t>R&amp;B</t>
  </si>
  <si>
    <t>Lovely</t>
  </si>
  <si>
    <t>Billie Eilish &amp; Khalid</t>
  </si>
  <si>
    <t>Uptown Funk</t>
  </si>
  <si>
    <t>Mark Ronson ft. Bruno Mars</t>
  </si>
  <si>
    <t>Funk/Pop</t>
  </si>
  <si>
    <t>Sweater Weather</t>
  </si>
  <si>
    <t>The Neighbourhood</t>
  </si>
  <si>
    <t>Indie Rock</t>
  </si>
  <si>
    <t>Cruel Summer</t>
  </si>
  <si>
    <t>Despacito</t>
  </si>
  <si>
    <t>Luis Fonsi ft. Daddy Yankee</t>
  </si>
  <si>
    <t>Reggaeton</t>
  </si>
  <si>
    <t>Puerto Rico</t>
  </si>
  <si>
    <t>Havana</t>
  </si>
  <si>
    <t>Camila Cabello ft. Young Thug</t>
  </si>
  <si>
    <t>Cuba/USA</t>
  </si>
  <si>
    <t>Easy On Me</t>
  </si>
  <si>
    <t>Adele</t>
  </si>
  <si>
    <t>Pop/Soul</t>
  </si>
  <si>
    <t>Lose Yourself</t>
  </si>
  <si>
    <t>Eminem</t>
  </si>
  <si>
    <t>Numb</t>
  </si>
  <si>
    <t>Linkin Park</t>
  </si>
  <si>
    <t>Smells Like Teen Spirit</t>
  </si>
  <si>
    <t>Nirvana</t>
  </si>
  <si>
    <t>Grunge</t>
  </si>
  <si>
    <t>Espresso</t>
  </si>
  <si>
    <t>Sabrina Carpenter</t>
  </si>
  <si>
    <t>Radioactive</t>
  </si>
  <si>
    <t>Running Up That Hill</t>
  </si>
  <si>
    <t>Kate Bush</t>
  </si>
  <si>
    <t>Art Pop</t>
  </si>
  <si>
    <t>Not Like Us</t>
  </si>
  <si>
    <t>Kendrick Lamar</t>
  </si>
  <si>
    <t>good 4 u</t>
  </si>
  <si>
    <t>Pop Punk</t>
  </si>
  <si>
    <t>All I Want for Christmas Is You</t>
  </si>
  <si>
    <t>Mariah Carey</t>
  </si>
  <si>
    <t>Holiday Pop</t>
  </si>
  <si>
    <t>Starboy</t>
  </si>
  <si>
    <t>The Weeknd ft. Daft Punk</t>
  </si>
  <si>
    <t>goosebumps</t>
  </si>
  <si>
    <t>Travis Scott</t>
  </si>
  <si>
    <t>7 rings</t>
  </si>
  <si>
    <t>Ariana Grande</t>
  </si>
  <si>
    <t>Trap Pop</t>
  </si>
  <si>
    <t>Die With A Smile</t>
  </si>
  <si>
    <t>Lady Gaga &amp; Bruno Mars</t>
  </si>
  <si>
    <t>Peaches</t>
  </si>
  <si>
    <t>Justin Bieber</t>
  </si>
  <si>
    <t>R&amp;B/Pop</t>
  </si>
  <si>
    <t>Falling</t>
  </si>
  <si>
    <t>Thunder</t>
  </si>
  <si>
    <t>Bad Habits</t>
  </si>
  <si>
    <t>Butter</t>
  </si>
  <si>
    <t>Night Changes</t>
  </si>
  <si>
    <t>One Direction</t>
  </si>
  <si>
    <t>High Hopes</t>
  </si>
  <si>
    <t>Panic! At The Disco</t>
  </si>
  <si>
    <t>Riptide</t>
  </si>
  <si>
    <t>Vance Joy</t>
  </si>
  <si>
    <t>Indie Folk</t>
  </si>
  <si>
    <t>Way Down We Go</t>
  </si>
  <si>
    <t>KALEO</t>
  </si>
  <si>
    <t>Blues Rock</t>
  </si>
  <si>
    <t>Iceland</t>
  </si>
  <si>
    <t>Heather</t>
  </si>
  <si>
    <t>Conan Gray</t>
  </si>
  <si>
    <t>Mood</t>
  </si>
  <si>
    <t>24kGoldn ft. iann dior</t>
  </si>
  <si>
    <t>Photograph</t>
  </si>
  <si>
    <t>Folk Pop</t>
  </si>
  <si>
    <t>Love Yourself</t>
  </si>
  <si>
    <t>Acoustic Pop</t>
  </si>
  <si>
    <t>Without Me</t>
  </si>
  <si>
    <t>Halsey</t>
  </si>
  <si>
    <t>Something Just Like This</t>
  </si>
  <si>
    <t>The Chainsmokers &amp; Coldplay</t>
  </si>
  <si>
    <t>Positions</t>
  </si>
  <si>
    <t>Roses</t>
  </si>
  <si>
    <t>SAINt JHN</t>
  </si>
  <si>
    <t>Thinking Out Loud</t>
  </si>
  <si>
    <t>Soul/R&amp;B</t>
  </si>
  <si>
    <t>Wrecking Ball</t>
  </si>
  <si>
    <t>golden hour</t>
  </si>
  <si>
    <t>JVKE</t>
  </si>
  <si>
    <t>Unstoppable</t>
  </si>
  <si>
    <t>Sia</t>
  </si>
  <si>
    <t>abcdefu</t>
  </si>
  <si>
    <t>GAYLE</t>
  </si>
  <si>
    <t>Sunroof</t>
  </si>
  <si>
    <t>Nicky Youre &amp; Dazy</t>
  </si>
  <si>
    <t>Beautiful Things</t>
  </si>
  <si>
    <t>Benson Boone</t>
  </si>
  <si>
    <t>middle of the night</t>
  </si>
  <si>
    <t>Elley Duhé</t>
  </si>
  <si>
    <t>Savage Love</t>
  </si>
  <si>
    <t>Jawsh 685 &amp; Jason Derulo</t>
  </si>
  <si>
    <t>NZ/USA</t>
  </si>
  <si>
    <t>APT.</t>
  </si>
  <si>
    <t>ROSE &amp; Bruno Mars</t>
  </si>
  <si>
    <t>K-Pop/Pop</t>
  </si>
  <si>
    <t>Welcome To The Black Parade</t>
  </si>
  <si>
    <t>My Chemical Romance</t>
  </si>
  <si>
    <t>Iris</t>
  </si>
  <si>
    <t>Goo Goo Dolls</t>
  </si>
  <si>
    <t>Astronaut In The Ocean</t>
  </si>
  <si>
    <t>Masked Wolf</t>
  </si>
  <si>
    <t>Levii's Jeans</t>
  </si>
  <si>
    <t>Beyoncé ft. Post Malone</t>
  </si>
  <si>
    <t>Country/Pop</t>
  </si>
  <si>
    <t>Lose Control</t>
  </si>
  <si>
    <t>Teddy Swims</t>
  </si>
  <si>
    <t>R&amp;B/Soul</t>
  </si>
  <si>
    <t>Too Sweet</t>
  </si>
  <si>
    <t>Hozier</t>
  </si>
  <si>
    <t>Ireland</t>
  </si>
  <si>
    <t>Sign of the Times</t>
  </si>
  <si>
    <t>Art Rock</t>
  </si>
  <si>
    <t>Adore You</t>
  </si>
  <si>
    <t>Arcade</t>
  </si>
  <si>
    <t>Duncan Laurence</t>
  </si>
  <si>
    <t>Netherlands</t>
  </si>
  <si>
    <t>See You Again</t>
  </si>
  <si>
    <t>Wiz Khalifa ft. Charlie Puth</t>
  </si>
  <si>
    <t>Attention</t>
  </si>
  <si>
    <t>Charlie Puth</t>
  </si>
  <si>
    <t>In The Stars</t>
  </si>
  <si>
    <t>Kiss Me More</t>
  </si>
  <si>
    <t>Doja Cat ft. SZA</t>
  </si>
  <si>
    <t>Pop/R&amp;B</t>
  </si>
  <si>
    <t>End Of Beginning</t>
  </si>
  <si>
    <t>Djo</t>
  </si>
  <si>
    <t>Ribs</t>
  </si>
  <si>
    <t>Lorde</t>
  </si>
  <si>
    <t>New Zealand</t>
  </si>
  <si>
    <t>Lemon Tree</t>
  </si>
  <si>
    <t>Fools Garden</t>
  </si>
  <si>
    <t>Germany</t>
  </si>
  <si>
    <t>Bliss</t>
  </si>
  <si>
    <t>Muse</t>
  </si>
  <si>
    <t>Stumblin' In</t>
  </si>
  <si>
    <t>Cyril &amp; Violet Skies</t>
  </si>
  <si>
    <t>Electricity</t>
  </si>
  <si>
    <t>Silk City &amp; Dua Lipa</t>
  </si>
  <si>
    <t>Blinding Lights (Remix)</t>
  </si>
  <si>
    <t>The Weeknd &amp; Rosalía</t>
  </si>
  <si>
    <t>Canada/Spain</t>
  </si>
  <si>
    <t>Falling For You</t>
  </si>
  <si>
    <t>Peachy feat. mxmtoon</t>
  </si>
  <si>
    <t>Laugh Now Cry Later</t>
  </si>
  <si>
    <t>Drake ft. Lil Durk</t>
  </si>
  <si>
    <t>Shake It Off</t>
  </si>
  <si>
    <t>ARTIST ANALYSIS</t>
  </si>
  <si>
    <t>12 artis dengan total streams tertinggi di Top 100</t>
  </si>
  <si>
    <t>Jumlah Lagu di Top 100</t>
  </si>
  <si>
    <t>Rata-rata Streams/Lagu (Miliar)</t>
  </si>
  <si>
    <t>Rata-rata BPM</t>
  </si>
  <si>
    <t>Share dari Total Streams</t>
  </si>
  <si>
    <t>GENRE ANALYSIS</t>
  </si>
  <si>
    <t>8 genre teratas berdasarkan total streams; sisanya (31 genre niche) digabung jadi "Lainnya"</t>
  </si>
  <si>
    <t>Jumlah Lagu</t>
  </si>
  <si>
    <t>Share dari Total</t>
  </si>
  <si>
    <t>Lainnya (31 genre niche)</t>
  </si>
  <si>
    <t>AUDIO FEATURES &amp; BPM ANALYSIS</t>
  </si>
  <si>
    <t>Hubungan tempo (BPM) dan karakter audio dengan popularitas lagu</t>
  </si>
  <si>
    <t>DISTRIBUSI BERDASARKAN TEMPO (BPM)</t>
  </si>
  <si>
    <t>Rentang BPM</t>
  </si>
  <si>
    <t>Rata-rata Streams (Miliar)</t>
  </si>
  <si>
    <t>Share Lagu</t>
  </si>
  <si>
    <t>&lt; 90</t>
  </si>
  <si>
    <t>90 - 109</t>
  </si>
  <si>
    <t>110 - 129</t>
  </si>
  <si>
    <t>130 - 149</t>
  </si>
  <si>
    <t>150+</t>
  </si>
  <si>
    <t>RATA-RATA KARAKTER AUDIO: EXPLICIT VS CLEAN</t>
  </si>
  <si>
    <t>Kategori</t>
  </si>
  <si>
    <t>Clean (Non-Explicit)</t>
  </si>
  <si>
    <t>RATA-RATA KESELURUHAN</t>
  </si>
  <si>
    <t>Metrik</t>
  </si>
  <si>
    <t>Rata-rata</t>
  </si>
  <si>
    <t>Min</t>
  </si>
  <si>
    <t>Max</t>
  </si>
  <si>
    <t>YEAR TREND ANALYSIS</t>
  </si>
  <si>
    <t>Sebaran lagu Top 100 berdasarkan dekade rilis (1980-an s/d 2020-an)</t>
  </si>
  <si>
    <t>Dekade</t>
  </si>
  <si>
    <t>1980-an</t>
  </si>
  <si>
    <t>1990-an</t>
  </si>
  <si>
    <t>2000-an</t>
  </si>
  <si>
    <t>2010-an</t>
  </si>
  <si>
    <t>2020-an</t>
  </si>
  <si>
    <t>EXECUTIVE SUMMARY</t>
  </si>
  <si>
    <t>Ringkasan temuan analisis Spotify Top 100 All-Time</t>
  </si>
  <si>
    <t>KEY METRICS</t>
  </si>
  <si>
    <t>TOP PERFORMERS</t>
  </si>
  <si>
    <t>Hasil</t>
  </si>
  <si>
    <t>Item</t>
  </si>
  <si>
    <t>Total Lagu</t>
  </si>
  <si>
    <t>Artis #1 (Streams)</t>
  </si>
  <si>
    <t>Total Artis Unik</t>
  </si>
  <si>
    <t>Genre Terpopuler</t>
  </si>
  <si>
    <t>Lagu dengan Streams Tertinggi</t>
  </si>
  <si>
    <t>BPM Sweet Spot (Rata-rata Streams Tertinggi)</t>
  </si>
  <si>
    <t>90-109 BPM</t>
  </si>
  <si>
    <t>Rentang Tahun Rilis</t>
  </si>
  <si>
    <t>OBSERVATIONS</t>
  </si>
  <si>
    <t>CALCULATIONS</t>
  </si>
  <si>
    <t>Tabel bantu yang menyalurkan data ke chart di Dashboard</t>
  </si>
  <si>
    <t>Top 10 Artis (Streams)</t>
  </si>
  <si>
    <t>Genre Breakdown</t>
  </si>
  <si>
    <t>Tren per Dekade</t>
  </si>
  <si>
    <t>Distribusi BPM</t>
  </si>
  <si>
    <t>BPM vs Streams (Data Mentah)</t>
  </si>
  <si>
    <t>Donut Gauge Data</t>
  </si>
  <si>
    <t>% Explicit</t>
  </si>
  <si>
    <r>
      <rPr>
        <b/>
        <sz val="10"/>
        <rFont val="Arial"/>
        <family val="2"/>
      </rPr>
      <t>Tempo Ideal:</t>
    </r>
    <r>
      <rPr>
        <sz val="10"/>
        <rFont val="Arial"/>
        <family val="2"/>
      </rPr>
      <t xml:space="preserve"> Tempo 90 hingga 109 BPM adalah titik terbaik komersial. Sebanyak 34 dari 100 lagu berada di rentang ini dengan rata-rata streams tertinggi sebesar 1,74 Miliar dibandingkan rentang tempo lain. Lagu yang terlalu cepat yaitu di atas 150 BPM atau terlalu lambat yaitu di bawah 90 BPM sama-sama punya rata-rata streams lebih rendah.</t>
    </r>
  </si>
  <si>
    <r>
      <rPr>
        <b/>
        <sz val="10"/>
        <rFont val="Arial"/>
        <family val="2"/>
      </rPr>
      <t>Lagu Eksplisit:</t>
    </r>
    <r>
      <rPr>
        <sz val="10"/>
        <rFont val="Arial"/>
        <family val="2"/>
      </rPr>
      <t xml:space="preserve"> Lagu eksplisit sebanyak 13 lagu justru punya rata-rata streams sedikit lebih tinggi sebesar 1,71 Miliar dibandingkan lagu non-eksplisit sebesar 1,63 Miliar. Hal ini bertentangan dengan asumsi umum bahwa konten eksplisit membatasi jangkauan pendengar.</t>
    </r>
  </si>
  <si>
    <r>
      <rPr>
        <b/>
        <sz val="10"/>
        <rFont val="Arial"/>
        <family val="2"/>
      </rPr>
      <t>Tren Dekade:</t>
    </r>
    <r>
      <rPr>
        <sz val="10"/>
        <rFont val="Arial"/>
        <family val="2"/>
      </rPr>
      <t xml:space="preserve"> Dekade 2010-an mendominasi dengan 54 lagu dan 98,3 Miliar streams atau sekitar 60% dari total. Era tersebut menjadi waktu booming streaming musik. Namun, dekade 2020-an sudah mengejar cepat dengan 37 lagu dalam rentang waktu jauh lebih singkat dan sudah mengumpulkan 54,4 Miliar streams. Hal ini menunjukkan akselerasi konsumsi musik yang makin cepat dari tahun ke tahun.</t>
    </r>
  </si>
  <si>
    <r>
      <rPr>
        <b/>
        <sz val="10"/>
        <rFont val="Arial"/>
        <family val="2"/>
      </rPr>
      <t>Dominasi Artis:</t>
    </r>
    <r>
      <rPr>
        <sz val="10"/>
        <rFont val="Arial"/>
        <family val="2"/>
      </rPr>
      <t xml:space="preserve"> Lima artis teratas yaitu Ed Sheeran, Harry Styles, The Weeknd, Imagine Dragons, dan Taylor Swift menyumbang gabungan sekitar 21% dari total streams Top 100. Meski masing-masing cuma menyumbang 2 hingga 5 lagu, dominasi mereka menunjukkan efek superstar di industri musik streaming.</t>
    </r>
  </si>
  <si>
    <r>
      <rPr>
        <b/>
        <sz val="10"/>
        <rFont val="Arial"/>
        <family val="2"/>
      </rPr>
      <t>Pangsa Pasar Genre:</t>
    </r>
    <r>
      <rPr>
        <sz val="10"/>
        <rFont val="Arial"/>
        <family val="2"/>
      </rPr>
      <t xml:space="preserve"> Genre Pop dan Indie Pop bersama-sama menguasai 29,6% dari total streams dengan rincian 17,8% dan 11,9%. Sementara 31 genre minor lainnya berbagi porsi 37,8% sisanya. Angka ini membuktikan pasar musik arus utama tetap didominasi segelintir genre besar.</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</si>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</sst>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x14ac:knownFonts="1">
    <font>
      <sz val="11"/>
      <color theme="1"/>
      <name val="Calibri"/>
      <family val="2"/>
      <charset val="1"/>
    </font>
    <font>
      <sz val="10"/>
      <name val="Arial"/>
      <family val="2"/>
    </font>
    <font>
      <b/>
      <sz val="20"/>
      <color rgb="FFFFFFFF"/>
      <name val="Arial"/>
      <family val="2"/>
    </font>
    <font>
      <i/>
      <sz val="11"/>
      <color rgb="FF666666"/>
      <name val="Arial"/>
      <family val="2"/>
    </font>
    <font>
      <b/>
      <sz val="9"/>
      <color rgb="FFFFFFFF"/>
      <name val="Arial"/>
      <family val="2"/>
    </font>
    <font>
      <b/>
      <sz val="18"/>
      <color rgb="FF17365D"/>
      <name val="Arial"/>
      <family val="2"/>
    </font>
    <font>
      <b/>
      <sz val="11"/>
      <color rgb="FFFFFFFF"/>
      <name val="Arial"/>
      <family val="2"/>
    </font>
    <font>
      <sz val="10"/>
      <name val="Arial"/>
      <family val="2"/>
    </font>
    <font>
      <i/>
      <sz val="9"/>
      <color rgb="FF666666"/>
      <name val="Arial"/>
      <family val="2"/>
    </font>
    <font>
      <b/>
      <sz val="9"/>
      <color rgb="FF17365D"/>
      <name val="Arial"/>
      <family val="2"/>
    </font>
    <font>
      <sz val="9"/>
      <name val="Arial"/>
      <family val="2"/>
    </font>
    <font>
      <b/>
      <sz val="18"/>
      <color rgb="FFFFFFFF"/>
      <name val="Arial"/>
      <family val="2"/>
    </font>
    <font>
      <i/>
      <sz val="10"/>
      <color rgb="FF666666"/>
      <name val="Arial"/>
      <family val="2"/>
    </font>
    <font>
      <b/>
      <sz val="11"/>
      <name val="Arial"/>
      <family val="2"/>
    </font>
    <font>
      <b/>
      <sz val="10"/>
      <color rgb="FF444444"/>
      <name val="Arial"/>
      <family val="2"/>
    </font>
    <font>
      <b/>
      <sz val="12"/>
      <color rgb="FFFFFFFF"/>
      <name val="Arial"/>
      <family val="2"/>
    </font>
    <font>
      <b/>
      <sz val="10"/>
      <color rgb="FFFFFFFF"/>
      <name val="Arial"/>
      <family val="2"/>
    </font>
    <font>
      <i/>
      <sz val="10"/>
      <name val="Arial"/>
      <family val="2"/>
    </font>
    <font>
      <b/>
      <sz val="16"/>
      <color rgb="FFFFFFFF"/>
      <name val="Arial"/>
      <family val="2"/>
    </font>
    <font>
      <b/>
      <sz val="10"/>
      <name val="Arial"/>
      <family val="2"/>
    </font>
    <font>
      <b/>
      <sz val="9"/>
      <name val="Arial"/>
      <family val="2"/>
    </font>
  </fonts>
  <fills count="6">
    <fill>
      <patternFill patternType="none"/>
    </fill>
    <fill>
      <patternFill patternType="gray125"/>
    </fill>
    <fill>
      <patternFill patternType="solid">
        <fgColor rgb="FF17365D"/>
        <bgColor rgb="FF333399"/>
      </patternFill>
    </fill>
    <fill>
      <patternFill patternType="solid">
        <fgColor rgb="FF2F75B5"/>
        <bgColor rgb="FF4672A8"/>
      </patternFill>
    </fill>
    <fill>
      <patternFill patternType="solid">
        <fgColor rgb="FFF4F7FA"/>
        <bgColor rgb="FFFFFFFF"/>
      </patternFill>
    </fill>
    <fill>
      <patternFill patternType="solid">
        <fgColor theme="0" tint="-4.9989318521683403E-2"/>
        <bgColor rgb="FFFFCC99"/>
      </patternFill>
    </fill>
  </fills>
  <borders count="10">
    <border>
      <left/>
      <right/>
      <top/>
      <bottom/>
      <diagonal/>
    </border>
    <border>
      <left/>
      <right/>
      <top/>
      <bottom style="thick">
        <color rgb="FFB8860B"/>
      </bottom>
      <diagonal/>
    </border>
    <border>
      <left/>
      <right/>
      <top/>
      <bottom style="medium">
        <color rgb="FFB8860B"/>
      </bottom>
      <diagonal/>
    </border>
    <border>
      <left/>
      <right/>
      <top/>
      <bottom style="thin">
        <color theme="0" tint="-0.24994659260841701"/>
      </bottom>
      <diagonal/>
    </border>
    <border>
      <left/>
      <right/>
      <top/>
      <bottom style="medium">
        <color theme="0" tint="-0.24994659260841701"/>
      </bottom>
      <diagonal/>
    </border>
    <border>
      <left/>
      <right/>
      <top/>
      <bottom style="thick">
        <color theme="0" tint="-0.24994659260841701"/>
      </bottom>
      <diagonal/>
    </border>
    <border>
      <left/>
      <right/>
      <top/>
      <bottom style="thin">
        <color theme="0" tint="-0.249977111117893"/>
      </bottom>
      <diagonal/>
    </border>
    <border>
      <left/>
      <right/>
      <top/>
      <bottom style="thin">
        <color auto="1"/>
      </bottom>
      <diagonal/>
    </border>
    <border>
      <left/>
      <right/>
      <top style="thin">
        <color theme="0" tint="-0.249977111117893"/>
      </top>
      <bottom style="thin">
        <color theme="0" tint="-0.249977111117893"/>
      </bottom>
      <diagonal/>
    </border>
    <border>
      <left/>
      <right/>
      <top style="medium">
        <color theme="0" tint="-0.24994659260841701"/>
      </top>
      <bottom style="thin">
        <color theme="0" tint="-0.249977111117893"/>
      </bottom>
      <diagonal/>
    </border>
  </borders>
  <cellStyleXfs count="1">
    <xf numFmtId="0" fontId="0" fillId="0" borderId="0"/>
  </cellStyleXfs>
  <cellXfs count="122">
    <xf numFmtId="0" fontId="0" fillId="0" borderId="0" xfId="0"/>
    <xf numFmtId="0" fontId="12" fillId="0" borderId="0" xfId="0" applyFont="1" applyAlignment="1">
      <alignment horizontal="center"/>
    </xf>
    <xf numFmtId="0" fontId="10" fillId="0" borderId="0" xfId="0" applyFont="1"/>
    <xf numFmtId="0" fontId="9" fillId="0" borderId="0" xfId="0" applyFont="1"/>
    <xf numFmtId="0" fontId="10" fillId="4" borderId="0" xfId="0" applyFont="1" applyFill="1"/>
    <xf numFmtId="0" fontId="9" fillId="4" borderId="0" xfId="0" applyFont="1" applyFill="1"/>
    <xf numFmtId="0" fontId="8" fillId="0" borderId="0" xfId="0" applyFont="1" applyAlignment="1">
      <alignment horizontal="center"/>
    </xf>
    <xf numFmtId="0" fontId="7" fillId="0" borderId="0" xfId="0" applyFont="1" applyAlignment="1">
      <alignment vertical="top" wrapText="1"/>
    </xf>
    <xf numFmtId="0" fontId="6" fillId="3" borderId="2" xfId="0" applyFont="1" applyFill="1" applyBorder="1"/>
    <xf numFmtId="0" fontId="5" fillId="4" borderId="0" xfId="0" applyFont="1" applyFill="1" applyAlignment="1">
      <alignment horizontal="center"/>
    </xf>
    <xf numFmtId="0" fontId="4" fillId="3" borderId="0" xfId="0" applyFont="1" applyFill="1" applyAlignment="1">
      <alignment horizontal="center"/>
    </xf>
    <xf numFmtId="0" fontId="0" fillId="0" borderId="0" xfId="0" applyAlignment="1">
      <alignment horizontal="center"/>
    </xf>
    <xf numFmtId="0" fontId="3" fillId="0" borderId="0" xfId="0" applyFont="1" applyAlignment="1">
      <alignment horizontal="center"/>
    </xf>
    <xf numFmtId="0" fontId="2" fillId="2" borderId="1" xfId="0" applyFont="1" applyFill="1" applyBorder="1" applyAlignment="1">
      <alignment horizontal="center" vertical="center"/>
    </xf>
    <xf numFmtId="0" fontId="0" fillId="0" borderId="0" xfId="0" applyAlignment="1">
      <alignment horizontal="center"/>
    </xf>
    <xf numFmtId="0" fontId="13" fillId="0" borderId="0" xfId="0" applyFont="1"/>
    <xf numFmtId="0" fontId="5" fillId="0" borderId="0" xfId="0" applyFont="1" applyAlignment="1">
      <alignment horizontal="center"/>
    </xf>
    <xf numFmtId="0" fontId="7" fillId="4" borderId="0" xfId="0" applyFont="1" applyFill="1"/>
    <xf numFmtId="2" fontId="7" fillId="4" borderId="0" xfId="0" applyNumberFormat="1" applyFont="1" applyFill="1"/>
    <xf numFmtId="0" fontId="7" fillId="0" borderId="0" xfId="0" applyFont="1"/>
    <xf numFmtId="2" fontId="7" fillId="0" borderId="0" xfId="0" applyNumberFormat="1" applyFont="1"/>
    <xf numFmtId="164" fontId="7" fillId="4" borderId="0" xfId="0" applyNumberFormat="1" applyFont="1" applyFill="1"/>
    <xf numFmtId="165" fontId="7" fillId="4" borderId="0" xfId="0" applyNumberFormat="1" applyFont="1" applyFill="1"/>
    <xf numFmtId="164" fontId="7" fillId="0" borderId="0" xfId="0" applyNumberFormat="1" applyFont="1"/>
    <xf numFmtId="165" fontId="7" fillId="0" borderId="0" xfId="0" applyNumberFormat="1" applyFont="1"/>
    <xf numFmtId="2" fontId="0" fillId="0" borderId="0" xfId="0" applyNumberFormat="1"/>
    <xf numFmtId="0" fontId="12" fillId="0" borderId="0" xfId="0" applyFont="1"/>
    <xf numFmtId="0" fontId="14" fillId="0" borderId="0" xfId="0" applyFont="1" applyAlignment="1">
      <alignment horizontal="center"/>
    </xf>
    <xf numFmtId="0" fontId="5" fillId="0" borderId="0" xfId="0" applyFont="1" applyAlignment="1">
      <alignment horizontal="center"/>
    </xf>
    <xf numFmtId="0" fontId="16" fillId="3" borderId="0" xfId="0" applyFont="1" applyFill="1" applyAlignment="1">
      <alignment horizontal="center"/>
    </xf>
    <xf numFmtId="0" fontId="7" fillId="4" borderId="0" xfId="0" applyFont="1" applyFill="1"/>
    <xf numFmtId="2" fontId="7" fillId="4" borderId="0" xfId="0" applyNumberFormat="1" applyFont="1" applyFill="1"/>
    <xf numFmtId="0" fontId="7" fillId="0" borderId="0" xfId="0" applyFont="1"/>
    <xf numFmtId="2" fontId="7" fillId="0" borderId="0" xfId="0" applyNumberFormat="1" applyFont="1"/>
    <xf numFmtId="0" fontId="18" fillId="0" borderId="0" xfId="0" applyFont="1" applyFill="1" applyBorder="1" applyAlignment="1">
      <alignment vertical="center"/>
    </xf>
    <xf numFmtId="0" fontId="12" fillId="0" borderId="0" xfId="0" applyFont="1" applyAlignment="1"/>
    <xf numFmtId="0" fontId="12" fillId="0" borderId="0" xfId="0" applyFont="1" applyAlignment="1">
      <alignment horizontal="center" vertical="center"/>
    </xf>
    <xf numFmtId="0" fontId="7" fillId="4" borderId="0" xfId="0" applyFont="1" applyFill="1" applyAlignment="1">
      <alignment horizontal="center"/>
    </xf>
    <xf numFmtId="0" fontId="7" fillId="0" borderId="0" xfId="0" applyFont="1" applyAlignment="1">
      <alignment horizontal="center"/>
    </xf>
    <xf numFmtId="0" fontId="7" fillId="0" borderId="0" xfId="0" applyFont="1" applyAlignment="1">
      <alignment horizontal="right"/>
    </xf>
    <xf numFmtId="2" fontId="7" fillId="0" borderId="0" xfId="0" applyNumberFormat="1" applyFont="1" applyAlignment="1">
      <alignment horizontal="right"/>
    </xf>
    <xf numFmtId="2" fontId="7" fillId="0" borderId="0" xfId="0" applyNumberFormat="1" applyFont="1" applyAlignment="1">
      <alignment horizontal="right"/>
    </xf>
    <xf numFmtId="9" fontId="7" fillId="4" borderId="0" xfId="0" applyNumberFormat="1" applyFont="1" applyFill="1"/>
    <xf numFmtId="9" fontId="7" fillId="0" borderId="0" xfId="0" applyNumberFormat="1" applyFont="1"/>
    <xf numFmtId="0" fontId="0" fillId="0" borderId="0" xfId="0" applyAlignment="1">
      <alignment vertical="center"/>
    </xf>
    <xf numFmtId="0" fontId="12" fillId="0" borderId="0" xfId="0" applyFont="1" applyBorder="1" applyAlignment="1">
      <alignment horizontal="center" vertical="center"/>
    </xf>
    <xf numFmtId="0" fontId="1" fillId="0" borderId="0" xfId="0" applyFont="1" applyAlignment="1">
      <alignment vertical="top" wrapText="1"/>
    </xf>
    <xf numFmtId="0" fontId="1" fillId="0" borderId="0" xfId="0" applyFont="1" applyAlignment="1">
      <alignment horizontal="left" vertical="top" wrapText="1"/>
    </xf>
    <xf numFmtId="1" fontId="7" fillId="0" borderId="0" xfId="0" applyNumberFormat="1" applyFont="1" applyAlignment="1">
      <alignment horizontal="right"/>
    </xf>
    <xf numFmtId="164" fontId="7" fillId="0" borderId="0" xfId="0" applyNumberFormat="1" applyFont="1" applyAlignment="1">
      <alignment horizontal="right"/>
    </xf>
    <xf numFmtId="0" fontId="7" fillId="0" borderId="0" xfId="0" applyFont="1" applyAlignment="1">
      <alignment horizontal="center"/>
    </xf>
    <xf numFmtId="0" fontId="7" fillId="0" borderId="0" xfId="0" applyFont="1" applyAlignment="1">
      <alignment horizontal="right"/>
    </xf>
    <xf numFmtId="0" fontId="7" fillId="4" borderId="0" xfId="0" applyFont="1" applyFill="1" applyAlignment="1">
      <alignment horizontal="right"/>
    </xf>
    <xf numFmtId="0" fontId="7" fillId="0" borderId="3" xfId="0" applyFont="1" applyBorder="1"/>
    <xf numFmtId="0" fontId="7" fillId="0" borderId="3" xfId="0" applyFont="1" applyBorder="1" applyAlignment="1">
      <alignment horizontal="right"/>
    </xf>
    <xf numFmtId="2" fontId="7" fillId="0" borderId="3" xfId="0" applyNumberFormat="1" applyFont="1" applyBorder="1"/>
    <xf numFmtId="164" fontId="7" fillId="0" borderId="3" xfId="0" applyNumberFormat="1" applyFont="1" applyBorder="1"/>
    <xf numFmtId="165" fontId="7" fillId="0" borderId="3" xfId="0" applyNumberFormat="1" applyFont="1" applyBorder="1"/>
    <xf numFmtId="0" fontId="16" fillId="3" borderId="4" xfId="0" applyFont="1" applyFill="1" applyBorder="1" applyAlignment="1">
      <alignment horizontal="left" vertical="center" wrapText="1"/>
    </xf>
    <xf numFmtId="0" fontId="16" fillId="3" borderId="4" xfId="0" applyFont="1" applyFill="1" applyBorder="1" applyAlignment="1">
      <alignment horizontal="center" vertical="center" wrapText="1"/>
    </xf>
    <xf numFmtId="0" fontId="18" fillId="2" borderId="5" xfId="0" applyFont="1" applyFill="1" applyBorder="1" applyAlignment="1">
      <alignment horizontal="center" vertical="center"/>
    </xf>
    <xf numFmtId="0" fontId="7" fillId="0" borderId="3" xfId="0" applyFont="1" applyBorder="1" applyAlignment="1">
      <alignment horizontal="center"/>
    </xf>
    <xf numFmtId="0" fontId="7" fillId="4" borderId="6" xfId="0" applyFont="1" applyFill="1" applyBorder="1"/>
    <xf numFmtId="2" fontId="7" fillId="4" borderId="6" xfId="0" applyNumberFormat="1" applyFont="1" applyFill="1" applyBorder="1"/>
    <xf numFmtId="164" fontId="7" fillId="4" borderId="6" xfId="0" applyNumberFormat="1" applyFont="1" applyFill="1" applyBorder="1"/>
    <xf numFmtId="165" fontId="7" fillId="4" borderId="6" xfId="0" applyNumberFormat="1" applyFont="1" applyFill="1" applyBorder="1"/>
    <xf numFmtId="0" fontId="1" fillId="4" borderId="6" xfId="0" applyFont="1" applyFill="1" applyBorder="1" applyAlignment="1">
      <alignment horizontal="center"/>
    </xf>
    <xf numFmtId="0" fontId="18" fillId="2" borderId="6" xfId="0" applyFont="1" applyFill="1" applyBorder="1" applyAlignment="1">
      <alignment horizontal="center" vertical="center"/>
    </xf>
    <xf numFmtId="0" fontId="7" fillId="4" borderId="0" xfId="0" applyFont="1" applyFill="1" applyBorder="1" applyAlignment="1">
      <alignment horizontal="left"/>
    </xf>
    <xf numFmtId="0" fontId="7" fillId="4" borderId="0" xfId="0" applyFont="1" applyFill="1" applyBorder="1"/>
    <xf numFmtId="2" fontId="7" fillId="4" borderId="0" xfId="0" applyNumberFormat="1" applyFont="1" applyFill="1" applyBorder="1"/>
    <xf numFmtId="9" fontId="7" fillId="4" borderId="0" xfId="0" applyNumberFormat="1" applyFont="1" applyFill="1" applyBorder="1"/>
    <xf numFmtId="0" fontId="7" fillId="0" borderId="0" xfId="0" applyFont="1" applyBorder="1" applyAlignment="1">
      <alignment horizontal="left"/>
    </xf>
    <xf numFmtId="0" fontId="7" fillId="0" borderId="0" xfId="0" applyFont="1" applyBorder="1"/>
    <xf numFmtId="2" fontId="7" fillId="0" borderId="0" xfId="0" applyNumberFormat="1" applyFont="1" applyBorder="1"/>
    <xf numFmtId="9" fontId="7" fillId="0" borderId="0" xfId="0" applyNumberFormat="1" applyFont="1" applyBorder="1"/>
    <xf numFmtId="0" fontId="7" fillId="4" borderId="6" xfId="0" applyFont="1" applyFill="1" applyBorder="1" applyAlignment="1">
      <alignment horizontal="left"/>
    </xf>
    <xf numFmtId="9" fontId="7" fillId="4" borderId="6" xfId="0" applyNumberFormat="1" applyFont="1" applyFill="1" applyBorder="1"/>
    <xf numFmtId="0" fontId="6" fillId="3" borderId="4" xfId="0" applyFont="1" applyFill="1" applyBorder="1" applyAlignment="1">
      <alignment horizontal="center"/>
    </xf>
    <xf numFmtId="2" fontId="7" fillId="0" borderId="3" xfId="0" applyNumberFormat="1" applyFont="1" applyBorder="1" applyAlignment="1">
      <alignment horizontal="right"/>
    </xf>
    <xf numFmtId="0" fontId="7" fillId="0" borderId="7" xfId="0" applyFont="1" applyBorder="1"/>
    <xf numFmtId="2" fontId="7" fillId="0" borderId="7" xfId="0" applyNumberFormat="1" applyFont="1" applyBorder="1" applyAlignment="1">
      <alignment horizontal="right"/>
    </xf>
    <xf numFmtId="2" fontId="7" fillId="0" borderId="7" xfId="0" applyNumberFormat="1" applyFont="1" applyBorder="1" applyAlignment="1">
      <alignment horizontal="right"/>
    </xf>
    <xf numFmtId="0" fontId="16" fillId="3" borderId="4" xfId="0" applyFont="1" applyFill="1" applyBorder="1" applyAlignment="1">
      <alignment horizontal="right" vertical="center" wrapText="1"/>
    </xf>
    <xf numFmtId="0" fontId="6" fillId="3" borderId="6" xfId="0" applyFont="1" applyFill="1" applyBorder="1" applyAlignment="1">
      <alignment horizontal="center"/>
    </xf>
    <xf numFmtId="0" fontId="7" fillId="0" borderId="6" xfId="0" applyFont="1" applyBorder="1"/>
    <xf numFmtId="0" fontId="7" fillId="0" borderId="6" xfId="0" applyFont="1" applyBorder="1" applyAlignment="1">
      <alignment horizontal="center"/>
    </xf>
    <xf numFmtId="0" fontId="6" fillId="3" borderId="6" xfId="0" applyFont="1" applyFill="1" applyBorder="1"/>
    <xf numFmtId="0" fontId="1" fillId="0" borderId="0" xfId="0" applyFont="1" applyBorder="1" applyAlignment="1">
      <alignment horizontal="left" vertical="top" wrapText="1"/>
    </xf>
    <xf numFmtId="0" fontId="1" fillId="0" borderId="6" xfId="0" applyFont="1" applyBorder="1" applyAlignment="1">
      <alignment horizontal="left" vertical="top" wrapText="1"/>
    </xf>
    <xf numFmtId="0" fontId="16" fillId="3" borderId="6" xfId="0" applyFont="1" applyFill="1" applyBorder="1" applyAlignment="1">
      <alignment horizontal="center"/>
    </xf>
    <xf numFmtId="0" fontId="0" fillId="0" borderId="6" xfId="0" applyBorder="1"/>
    <xf numFmtId="2" fontId="0" fillId="0" borderId="6" xfId="0" applyNumberFormat="1" applyBorder="1"/>
    <xf numFmtId="0" fontId="20" fillId="0" borderId="8" xfId="0" applyFont="1" applyBorder="1"/>
    <xf numFmtId="0" fontId="20" fillId="0" borderId="8" xfId="0" applyFont="1" applyBorder="1" applyAlignment="1">
      <alignment horizontal="right"/>
    </xf>
    <xf numFmtId="0" fontId="20" fillId="0" borderId="8" xfId="0" applyFont="1" applyBorder="1" applyAlignment="1">
      <alignment horizontal="center"/>
    </xf>
    <xf numFmtId="0" fontId="19" fillId="0" borderId="0" xfId="0" applyFont="1" applyAlignment="1">
      <alignment horizontal="center"/>
    </xf>
    <xf numFmtId="0" fontId="19" fillId="0" borderId="0" xfId="0" applyFont="1" applyAlignment="1"/>
    <xf numFmtId="0" fontId="19" fillId="4" borderId="8" xfId="0" applyFont="1" applyFill="1" applyBorder="1"/>
    <xf numFmtId="0" fontId="19" fillId="4" borderId="8" xfId="0" applyFont="1" applyFill="1" applyBorder="1" applyAlignment="1">
      <alignment horizontal="right"/>
    </xf>
    <xf numFmtId="0" fontId="7" fillId="0" borderId="6" xfId="0" applyFont="1" applyFill="1" applyBorder="1"/>
    <xf numFmtId="0" fontId="7" fillId="0" borderId="6" xfId="0" applyFont="1" applyFill="1" applyBorder="1" applyAlignment="1">
      <alignment horizontal="right"/>
    </xf>
    <xf numFmtId="0" fontId="16" fillId="3" borderId="6" xfId="0" applyFont="1" applyFill="1" applyBorder="1" applyAlignment="1">
      <alignment horizontal="center" vertical="center" wrapText="1"/>
    </xf>
    <xf numFmtId="0" fontId="7" fillId="4" borderId="6" xfId="0" applyFont="1" applyFill="1" applyBorder="1" applyAlignment="1">
      <alignment horizontal="center"/>
    </xf>
    <xf numFmtId="0" fontId="19" fillId="4" borderId="9" xfId="0" applyFont="1" applyFill="1" applyBorder="1" applyAlignment="1">
      <alignment horizontal="left" wrapText="1"/>
    </xf>
    <xf numFmtId="0" fontId="19" fillId="4" borderId="9" xfId="0" applyFont="1" applyFill="1" applyBorder="1" applyAlignment="1">
      <alignment horizontal="right" wrapText="1"/>
    </xf>
    <xf numFmtId="0" fontId="19" fillId="4" borderId="9" xfId="0" applyFont="1" applyFill="1" applyBorder="1" applyAlignment="1">
      <alignment horizontal="left"/>
    </xf>
    <xf numFmtId="0" fontId="19" fillId="4" borderId="9" xfId="0" applyFont="1" applyFill="1" applyBorder="1" applyAlignment="1">
      <alignment horizontal="right"/>
    </xf>
    <xf numFmtId="0" fontId="19" fillId="4" borderId="9" xfId="0" applyFont="1" applyFill="1" applyBorder="1" applyAlignment="1">
      <alignment horizontal="right"/>
    </xf>
    <xf numFmtId="0" fontId="11" fillId="2" borderId="6" xfId="0" applyFont="1" applyFill="1" applyBorder="1" applyAlignment="1">
      <alignment horizontal="center" vertical="center"/>
    </xf>
    <xf numFmtId="1" fontId="5" fillId="4" borderId="6"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0" fontId="5" fillId="4" borderId="6" xfId="0" applyFont="1" applyFill="1" applyBorder="1" applyAlignment="1">
      <alignment horizontal="center" vertical="center"/>
    </xf>
    <xf numFmtId="0" fontId="4" fillId="3" borderId="6" xfId="0" applyFont="1" applyFill="1" applyBorder="1" applyAlignment="1">
      <alignment horizontal="center" vertical="center"/>
    </xf>
    <xf numFmtId="0" fontId="16" fillId="3" borderId="6" xfId="0" applyFont="1" applyFill="1" applyBorder="1" applyAlignment="1">
      <alignment horizontal="center"/>
    </xf>
    <xf numFmtId="0" fontId="15" fillId="2" borderId="6" xfId="0" applyFont="1" applyFill="1" applyBorder="1" applyAlignment="1">
      <alignment horizontal="center"/>
    </xf>
    <xf numFmtId="0" fontId="7" fillId="4" borderId="0" xfId="0" applyFont="1" applyFill="1" applyAlignment="1">
      <alignment horizontal="center"/>
    </xf>
    <xf numFmtId="0" fontId="7" fillId="0" borderId="6" xfId="0" applyFont="1" applyBorder="1"/>
    <xf numFmtId="2" fontId="7" fillId="0" borderId="6" xfId="0" applyNumberFormat="1" applyFont="1" applyBorder="1"/>
    <xf numFmtId="0" fontId="17" fillId="0" borderId="0" xfId="0" applyFont="1" applyAlignment="1">
      <alignment vertical="center" wrapText="1"/>
    </xf>
    <xf numFmtId="0" fontId="13" fillId="5" borderId="0" xfId="0" applyFont="1" applyFill="1"/>
    <xf numFmtId="0" fontId="7"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4F81BD"/>
      <rgbColor rgb="FFB3B3B3"/>
      <rgbColor rgb="FF666666"/>
      <rgbColor rgb="FF93A9CE"/>
      <rgbColor rgb="FFAB4744"/>
      <rgbColor rgb="FFF4F7FA"/>
      <rgbColor rgb="FFCCFFFF"/>
      <rgbColor rgb="FF660066"/>
      <rgbColor rgb="FFDC853E"/>
      <rgbColor rgb="FF4672A8"/>
      <rgbColor rgb="FFD9D9D9"/>
      <rgbColor rgb="FF000080"/>
      <rgbColor rgb="FFFF00FF"/>
      <rgbColor rgb="FFFFFF00"/>
      <rgbColor rgb="FF00FFFF"/>
      <rgbColor rgb="FF800080"/>
      <rgbColor rgb="FF800000"/>
      <rgbColor rgb="FF008080"/>
      <rgbColor rgb="FF0000FF"/>
      <rgbColor rgb="FF00CCFF"/>
      <rgbColor rgb="FFCCFFFF"/>
      <rgbColor rgb="FFCCFFCC"/>
      <rgbColor rgb="FFFCE8B2"/>
      <rgbColor rgb="FFB8CD97"/>
      <rgbColor rgb="FFD09493"/>
      <rgbColor rgb="FFCC99FF"/>
      <rgbColor rgb="FFFFCC99"/>
      <rgbColor rgb="FF2F75B5"/>
      <rgbColor rgb="FF4299B0"/>
      <rgbColor rgb="FF99CC00"/>
      <rgbColor rgb="FFFFCC00"/>
      <rgbColor rgb="FFFF9900"/>
      <rgbColor rgb="FFFF6600"/>
      <rgbColor rgb="FF725990"/>
      <rgbColor rgb="FF8AA64F"/>
      <rgbColor rgb="FF17365D"/>
      <rgbColor rgb="FF2F9E6B"/>
      <rgbColor rgb="FF003300"/>
      <rgbColor rgb="FF333300"/>
      <rgbColor rgb="FF993300"/>
      <rgbColor rgb="FFC0504D"/>
      <rgbColor rgb="FF33339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doughnutChart>
        <c:varyColors val="1"/>
        <c:ser>
          <c:idx val="0"/>
          <c:order val="0"/>
          <c:spPr>
            <a:solidFill>
              <a:srgbClr val="4F81BD"/>
            </a:solidFill>
            <a:ln w="0">
              <a:noFill/>
            </a:ln>
          </c:spPr>
          <c:dPt>
            <c:idx val="0"/>
            <c:bubble3D val="0"/>
            <c:spPr>
              <a:solidFill>
                <a:srgbClr val="2F9E6B"/>
              </a:solidFill>
              <a:ln w="0">
                <a:noFill/>
              </a:ln>
            </c:spPr>
            <c:extLst>
              <c:ext xmlns:c16="http://schemas.microsoft.com/office/drawing/2014/chart" uri="{C3380CC4-5D6E-409C-BE32-E72D297353CC}">
                <c16:uniqueId val="{00000001-0BD9-4EE5-9F66-A0A6E13916DF}"/>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0BD9-4EE5-9F66-A0A6E13916DF}"/>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Calculations!$Q$5</c:f>
              <c:numCache>
                <c:formatCode>General</c:formatCode>
                <c:ptCount val="1"/>
                <c:pt idx="0">
                  <c:v>54</c:v>
                </c:pt>
              </c:numCache>
            </c:numRef>
          </c:val>
          <c:extLst>
            <c:ext xmlns:c16="http://schemas.microsoft.com/office/drawing/2014/chart" uri="{C3380CC4-5D6E-409C-BE32-E72D297353CC}">
              <c16:uniqueId val="{00000002-0BD9-4EE5-9F66-A0A6E13916DF}"/>
            </c:ext>
          </c:extLst>
        </c:ser>
        <c:ser>
          <c:idx val="1"/>
          <c:order val="1"/>
          <c:spPr>
            <a:solidFill>
              <a:srgbClr val="C0504D"/>
            </a:solidFill>
            <a:ln w="0">
              <a:noFill/>
            </a:ln>
          </c:spPr>
          <c:dPt>
            <c:idx val="0"/>
            <c:bubble3D val="0"/>
            <c:spPr>
              <a:solidFill>
                <a:srgbClr val="4F81BD"/>
              </a:solidFill>
              <a:ln w="0">
                <a:noFill/>
              </a:ln>
            </c:spPr>
            <c:extLst>
              <c:ext xmlns:c16="http://schemas.microsoft.com/office/drawing/2014/chart" uri="{C3380CC4-5D6E-409C-BE32-E72D297353CC}">
                <c16:uniqueId val="{00000004-0BD9-4EE5-9F66-A0A6E13916DF}"/>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4-0BD9-4EE5-9F66-A0A6E13916DF}"/>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Calculations!$R$5</c:f>
              <c:numCache>
                <c:formatCode>General</c:formatCode>
                <c:ptCount val="1"/>
                <c:pt idx="0">
                  <c:v>46</c:v>
                </c:pt>
              </c:numCache>
            </c:numRef>
          </c:val>
          <c:extLst>
            <c:ext xmlns:c16="http://schemas.microsoft.com/office/drawing/2014/chart" uri="{C3380CC4-5D6E-409C-BE32-E72D297353CC}">
              <c16:uniqueId val="{00000005-0BD9-4EE5-9F66-A0A6E13916DF}"/>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doughnutChart>
        <c:varyColors val="1"/>
        <c:ser>
          <c:idx val="0"/>
          <c:order val="0"/>
          <c:spPr>
            <a:solidFill>
              <a:srgbClr val="4F81BD"/>
            </a:solidFill>
            <a:ln w="0">
              <a:noFill/>
            </a:ln>
          </c:spPr>
          <c:dPt>
            <c:idx val="0"/>
            <c:bubble3D val="0"/>
            <c:spPr>
              <a:solidFill>
                <a:srgbClr val="2F9E6B"/>
              </a:solidFill>
              <a:ln w="0">
                <a:noFill/>
              </a:ln>
            </c:spPr>
            <c:extLst>
              <c:ext xmlns:c16="http://schemas.microsoft.com/office/drawing/2014/chart" uri="{C3380CC4-5D6E-409C-BE32-E72D297353CC}">
                <c16:uniqueId val="{00000001-A5D4-4F85-90C1-2EF6572CFD6D}"/>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A5D4-4F85-90C1-2EF6572CFD6D}"/>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Calculations!$Q$6</c:f>
              <c:numCache>
                <c:formatCode>General</c:formatCode>
                <c:ptCount val="1"/>
                <c:pt idx="0">
                  <c:v>55</c:v>
                </c:pt>
              </c:numCache>
            </c:numRef>
          </c:val>
          <c:extLst>
            <c:ext xmlns:c16="http://schemas.microsoft.com/office/drawing/2014/chart" uri="{C3380CC4-5D6E-409C-BE32-E72D297353CC}">
              <c16:uniqueId val="{00000002-A5D4-4F85-90C1-2EF6572CFD6D}"/>
            </c:ext>
          </c:extLst>
        </c:ser>
        <c:ser>
          <c:idx val="1"/>
          <c:order val="1"/>
          <c:spPr>
            <a:solidFill>
              <a:srgbClr val="C0504D"/>
            </a:solidFill>
            <a:ln w="0">
              <a:noFill/>
            </a:ln>
          </c:spPr>
          <c:dPt>
            <c:idx val="0"/>
            <c:bubble3D val="0"/>
            <c:spPr>
              <a:solidFill>
                <a:srgbClr val="4F81BD"/>
              </a:solidFill>
              <a:ln w="0">
                <a:noFill/>
              </a:ln>
            </c:spPr>
            <c:extLst>
              <c:ext xmlns:c16="http://schemas.microsoft.com/office/drawing/2014/chart" uri="{C3380CC4-5D6E-409C-BE32-E72D297353CC}">
                <c16:uniqueId val="{00000004-A5D4-4F85-90C1-2EF6572CFD6D}"/>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4-A5D4-4F85-90C1-2EF6572CFD6D}"/>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Calculations!$R$6</c:f>
              <c:numCache>
                <c:formatCode>General</c:formatCode>
                <c:ptCount val="1"/>
                <c:pt idx="0">
                  <c:v>45</c:v>
                </c:pt>
              </c:numCache>
            </c:numRef>
          </c:val>
          <c:extLst>
            <c:ext xmlns:c16="http://schemas.microsoft.com/office/drawing/2014/chart" uri="{C3380CC4-5D6E-409C-BE32-E72D297353CC}">
              <c16:uniqueId val="{00000005-A5D4-4F85-90C1-2EF6572CFD6D}"/>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doughnutChart>
        <c:varyColors val="1"/>
        <c:ser>
          <c:idx val="0"/>
          <c:order val="0"/>
          <c:spPr>
            <a:solidFill>
              <a:srgbClr val="4F81BD"/>
            </a:solidFill>
            <a:ln w="0">
              <a:noFill/>
            </a:ln>
          </c:spPr>
          <c:dPt>
            <c:idx val="0"/>
            <c:bubble3D val="0"/>
            <c:spPr>
              <a:solidFill>
                <a:srgbClr val="2F9E6B"/>
              </a:solidFill>
              <a:ln w="0">
                <a:noFill/>
              </a:ln>
            </c:spPr>
            <c:extLst>
              <c:ext xmlns:c16="http://schemas.microsoft.com/office/drawing/2014/chart" uri="{C3380CC4-5D6E-409C-BE32-E72D297353CC}">
                <c16:uniqueId val="{00000001-1AE2-41A0-8B45-0C4BE70965B8}"/>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1AE2-41A0-8B45-0C4BE70965B8}"/>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Calculations!$Q$7</c:f>
              <c:numCache>
                <c:formatCode>General</c:formatCode>
                <c:ptCount val="1"/>
                <c:pt idx="0">
                  <c:v>13</c:v>
                </c:pt>
              </c:numCache>
            </c:numRef>
          </c:val>
          <c:extLst>
            <c:ext xmlns:c16="http://schemas.microsoft.com/office/drawing/2014/chart" uri="{C3380CC4-5D6E-409C-BE32-E72D297353CC}">
              <c16:uniqueId val="{00000002-1AE2-41A0-8B45-0C4BE70965B8}"/>
            </c:ext>
          </c:extLst>
        </c:ser>
        <c:ser>
          <c:idx val="1"/>
          <c:order val="1"/>
          <c:spPr>
            <a:solidFill>
              <a:srgbClr val="C0504D"/>
            </a:solidFill>
            <a:ln w="0">
              <a:noFill/>
            </a:ln>
          </c:spPr>
          <c:dPt>
            <c:idx val="0"/>
            <c:bubble3D val="0"/>
            <c:spPr>
              <a:solidFill>
                <a:srgbClr val="4F81BD"/>
              </a:solidFill>
              <a:ln w="0">
                <a:noFill/>
              </a:ln>
            </c:spPr>
            <c:extLst>
              <c:ext xmlns:c16="http://schemas.microsoft.com/office/drawing/2014/chart" uri="{C3380CC4-5D6E-409C-BE32-E72D297353CC}">
                <c16:uniqueId val="{00000004-1AE2-41A0-8B45-0C4BE70965B8}"/>
              </c:ext>
            </c:extLst>
          </c:dPt>
          <c:dLbls>
            <c:dLbl>
              <c:idx val="0"/>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4-1AE2-41A0-8B45-0C4BE70965B8}"/>
                </c:ext>
              </c:extLst>
            </c:dLbl>
            <c:spPr>
              <a:noFill/>
              <a:ln>
                <a:noFill/>
              </a:ln>
              <a:effectLst/>
            </c:spPr>
            <c:txPr>
              <a:bodyPr wrap="square"/>
              <a:lstStyle/>
              <a:p>
                <a:pPr>
                  <a:defRPr sz="1000" b="0" strike="noStrike" spc="-1">
                    <a:solidFill>
                      <a:srgbClr val="000000"/>
                    </a:solidFill>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Calculations!$R$7</c:f>
              <c:numCache>
                <c:formatCode>General</c:formatCode>
                <c:ptCount val="1"/>
                <c:pt idx="0">
                  <c:v>87</c:v>
                </c:pt>
              </c:numCache>
            </c:numRef>
          </c:val>
          <c:extLst>
            <c:ext xmlns:c16="http://schemas.microsoft.com/office/drawing/2014/chart" uri="{C3380CC4-5D6E-409C-BE32-E72D297353CC}">
              <c16:uniqueId val="{00000005-1AE2-41A0-8B45-0C4BE70965B8}"/>
            </c:ext>
          </c:extLst>
        </c:ser>
        <c:dLbls>
          <c:showLegendKey val="0"/>
          <c:showVal val="0"/>
          <c:showCatName val="0"/>
          <c:showSerName val="0"/>
          <c:showPercent val="0"/>
          <c:showBubbleSize val="0"/>
          <c:showLeaderLines val="1"/>
        </c:dLbls>
        <c:firstSliceAng val="0"/>
        <c:holeSize val="50"/>
      </c:doughnutChart>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spPr>
            <a:solidFill>
              <a:srgbClr val="2F75B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Calculations!$A$6:$A$15</c:f>
              <c:strCache>
                <c:ptCount val="10"/>
                <c:pt idx="0">
                  <c:v>Ed Sheeran</c:v>
                </c:pt>
                <c:pt idx="1">
                  <c:v>Harry Styles</c:v>
                </c:pt>
                <c:pt idx="2">
                  <c:v>The Weeknd</c:v>
                </c:pt>
                <c:pt idx="3">
                  <c:v>Imagine Dragons</c:v>
                </c:pt>
                <c:pt idx="4">
                  <c:v>Taylor Swift</c:v>
                </c:pt>
                <c:pt idx="5">
                  <c:v>Ariana Grande</c:v>
                </c:pt>
                <c:pt idx="6">
                  <c:v>Miley Cyrus</c:v>
                </c:pt>
                <c:pt idx="7">
                  <c:v>Olivia Rodrigo</c:v>
                </c:pt>
                <c:pt idx="8">
                  <c:v>Justin Bieber</c:v>
                </c:pt>
                <c:pt idx="9">
                  <c:v>Post Malone &amp; Swae Lee</c:v>
                </c:pt>
              </c:strCache>
            </c:strRef>
          </c:cat>
          <c:val>
            <c:numRef>
              <c:f>Calculations!$B$6:$B$15</c:f>
              <c:numCache>
                <c:formatCode>0.00</c:formatCode>
                <c:ptCount val="10"/>
                <c:pt idx="0">
                  <c:v>9.52</c:v>
                </c:pt>
                <c:pt idx="1">
                  <c:v>7.58</c:v>
                </c:pt>
                <c:pt idx="2">
                  <c:v>7.4</c:v>
                </c:pt>
                <c:pt idx="3">
                  <c:v>6.19</c:v>
                </c:pt>
                <c:pt idx="4">
                  <c:v>4.7699999999999996</c:v>
                </c:pt>
                <c:pt idx="5">
                  <c:v>3.6100000000000003</c:v>
                </c:pt>
                <c:pt idx="6">
                  <c:v>3.24</c:v>
                </c:pt>
                <c:pt idx="7">
                  <c:v>3.22</c:v>
                </c:pt>
                <c:pt idx="8">
                  <c:v>2.79</c:v>
                </c:pt>
                <c:pt idx="9">
                  <c:v>2.78</c:v>
                </c:pt>
              </c:numCache>
            </c:numRef>
          </c:val>
          <c:extLst>
            <c:ext xmlns:c16="http://schemas.microsoft.com/office/drawing/2014/chart" uri="{C3380CC4-5D6E-409C-BE32-E72D297353CC}">
              <c16:uniqueId val="{00000000-9992-4405-8D33-15BC0E3ABD77}"/>
            </c:ext>
          </c:extLst>
        </c:ser>
        <c:dLbls>
          <c:showLegendKey val="0"/>
          <c:showVal val="0"/>
          <c:showCatName val="0"/>
          <c:showSerName val="0"/>
          <c:showPercent val="0"/>
          <c:showBubbleSize val="0"/>
        </c:dLbls>
        <c:gapWidth val="150"/>
        <c:axId val="11736842"/>
        <c:axId val="51791678"/>
      </c:barChart>
      <c:catAx>
        <c:axId val="11736842"/>
        <c:scaling>
          <c:orientation val="minMax"/>
        </c:scaling>
        <c:delete val="0"/>
        <c:axPos val="l"/>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1791678"/>
        <c:crosses val="autoZero"/>
        <c:auto val="1"/>
        <c:lblAlgn val="ctr"/>
        <c:lblOffset val="100"/>
        <c:noMultiLvlLbl val="0"/>
      </c:catAx>
      <c:valAx>
        <c:axId val="51791678"/>
        <c:scaling>
          <c:orientation val="minMax"/>
        </c:scaling>
        <c:delete val="0"/>
        <c:axPos val="b"/>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17368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pieChart>
        <c:varyColors val="1"/>
        <c:ser>
          <c:idx val="0"/>
          <c:order val="0"/>
          <c:spPr>
            <a:solidFill>
              <a:srgbClr val="4F81BD"/>
            </a:solidFill>
            <a:ln w="0">
              <a:noFill/>
            </a:ln>
          </c:spPr>
          <c:dPt>
            <c:idx val="0"/>
            <c:bubble3D val="0"/>
            <c:spPr>
              <a:solidFill>
                <a:srgbClr val="4672A8"/>
              </a:solidFill>
              <a:ln w="0">
                <a:noFill/>
              </a:ln>
            </c:spPr>
            <c:extLst>
              <c:ext xmlns:c16="http://schemas.microsoft.com/office/drawing/2014/chart" uri="{C3380CC4-5D6E-409C-BE32-E72D297353CC}">
                <c16:uniqueId val="{00000001-B27A-4C3F-889A-FEC38C028EAB}"/>
              </c:ext>
            </c:extLst>
          </c:dPt>
          <c:dPt>
            <c:idx val="1"/>
            <c:bubble3D val="0"/>
            <c:spPr>
              <a:solidFill>
                <a:srgbClr val="AB4744"/>
              </a:solidFill>
              <a:ln w="0">
                <a:noFill/>
              </a:ln>
            </c:spPr>
            <c:extLst>
              <c:ext xmlns:c16="http://schemas.microsoft.com/office/drawing/2014/chart" uri="{C3380CC4-5D6E-409C-BE32-E72D297353CC}">
                <c16:uniqueId val="{00000003-B27A-4C3F-889A-FEC38C028EAB}"/>
              </c:ext>
            </c:extLst>
          </c:dPt>
          <c:dPt>
            <c:idx val="2"/>
            <c:bubble3D val="0"/>
            <c:spPr>
              <a:solidFill>
                <a:srgbClr val="8AA64F"/>
              </a:solidFill>
              <a:ln w="0">
                <a:noFill/>
              </a:ln>
            </c:spPr>
            <c:extLst>
              <c:ext xmlns:c16="http://schemas.microsoft.com/office/drawing/2014/chart" uri="{C3380CC4-5D6E-409C-BE32-E72D297353CC}">
                <c16:uniqueId val="{00000005-B27A-4C3F-889A-FEC38C028EAB}"/>
              </c:ext>
            </c:extLst>
          </c:dPt>
          <c:dPt>
            <c:idx val="3"/>
            <c:bubble3D val="0"/>
            <c:spPr>
              <a:solidFill>
                <a:srgbClr val="725990"/>
              </a:solidFill>
              <a:ln w="0">
                <a:noFill/>
              </a:ln>
            </c:spPr>
            <c:extLst>
              <c:ext xmlns:c16="http://schemas.microsoft.com/office/drawing/2014/chart" uri="{C3380CC4-5D6E-409C-BE32-E72D297353CC}">
                <c16:uniqueId val="{00000007-B27A-4C3F-889A-FEC38C028EAB}"/>
              </c:ext>
            </c:extLst>
          </c:dPt>
          <c:dPt>
            <c:idx val="4"/>
            <c:bubble3D val="0"/>
            <c:spPr>
              <a:solidFill>
                <a:srgbClr val="4299B0"/>
              </a:solidFill>
              <a:ln w="0">
                <a:noFill/>
              </a:ln>
            </c:spPr>
            <c:extLst>
              <c:ext xmlns:c16="http://schemas.microsoft.com/office/drawing/2014/chart" uri="{C3380CC4-5D6E-409C-BE32-E72D297353CC}">
                <c16:uniqueId val="{00000009-B27A-4C3F-889A-FEC38C028EAB}"/>
              </c:ext>
            </c:extLst>
          </c:dPt>
          <c:dPt>
            <c:idx val="5"/>
            <c:bubble3D val="0"/>
            <c:spPr>
              <a:solidFill>
                <a:srgbClr val="DC853E"/>
              </a:solidFill>
              <a:ln w="0">
                <a:noFill/>
              </a:ln>
            </c:spPr>
            <c:extLst>
              <c:ext xmlns:c16="http://schemas.microsoft.com/office/drawing/2014/chart" uri="{C3380CC4-5D6E-409C-BE32-E72D297353CC}">
                <c16:uniqueId val="{0000000B-B27A-4C3F-889A-FEC38C028EAB}"/>
              </c:ext>
            </c:extLst>
          </c:dPt>
          <c:dPt>
            <c:idx val="6"/>
            <c:bubble3D val="0"/>
            <c:spPr>
              <a:solidFill>
                <a:srgbClr val="93A9CE"/>
              </a:solidFill>
              <a:ln w="0">
                <a:noFill/>
              </a:ln>
            </c:spPr>
            <c:extLst>
              <c:ext xmlns:c16="http://schemas.microsoft.com/office/drawing/2014/chart" uri="{C3380CC4-5D6E-409C-BE32-E72D297353CC}">
                <c16:uniqueId val="{0000000D-B27A-4C3F-889A-FEC38C028EAB}"/>
              </c:ext>
            </c:extLst>
          </c:dPt>
          <c:dPt>
            <c:idx val="7"/>
            <c:bubble3D val="0"/>
            <c:spPr>
              <a:solidFill>
                <a:srgbClr val="D09493"/>
              </a:solidFill>
              <a:ln w="0">
                <a:noFill/>
              </a:ln>
            </c:spPr>
            <c:extLst>
              <c:ext xmlns:c16="http://schemas.microsoft.com/office/drawing/2014/chart" uri="{C3380CC4-5D6E-409C-BE32-E72D297353CC}">
                <c16:uniqueId val="{0000000F-B27A-4C3F-889A-FEC38C028EAB}"/>
              </c:ext>
            </c:extLst>
          </c:dPt>
          <c:dPt>
            <c:idx val="8"/>
            <c:bubble3D val="0"/>
            <c:spPr>
              <a:solidFill>
                <a:srgbClr val="B8CD97"/>
              </a:solidFill>
              <a:ln w="0">
                <a:noFill/>
              </a:ln>
            </c:spPr>
            <c:extLst>
              <c:ext xmlns:c16="http://schemas.microsoft.com/office/drawing/2014/chart" uri="{C3380CC4-5D6E-409C-BE32-E72D297353CC}">
                <c16:uniqueId val="{00000011-B27A-4C3F-889A-FEC38C028EAB}"/>
              </c:ext>
            </c:extLst>
          </c:dPt>
          <c:dLbls>
            <c:dLbl>
              <c:idx val="0"/>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1-B27A-4C3F-889A-FEC38C028EAB}"/>
                </c:ext>
              </c:extLst>
            </c:dLbl>
            <c:dLbl>
              <c:idx val="1"/>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3-B27A-4C3F-889A-FEC38C028EAB}"/>
                </c:ext>
              </c:extLst>
            </c:dLbl>
            <c:dLbl>
              <c:idx val="2"/>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5-B27A-4C3F-889A-FEC38C028EAB}"/>
                </c:ext>
              </c:extLst>
            </c:dLbl>
            <c:dLbl>
              <c:idx val="3"/>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7-B27A-4C3F-889A-FEC38C028EAB}"/>
                </c:ext>
              </c:extLst>
            </c:dLbl>
            <c:dLbl>
              <c:idx val="4"/>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9-B27A-4C3F-889A-FEC38C028EAB}"/>
                </c:ext>
              </c:extLst>
            </c:dLbl>
            <c:dLbl>
              <c:idx val="5"/>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B-B27A-4C3F-889A-FEC38C028EAB}"/>
                </c:ext>
              </c:extLst>
            </c:dLbl>
            <c:dLbl>
              <c:idx val="6"/>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D-B27A-4C3F-889A-FEC38C028EAB}"/>
                </c:ext>
              </c:extLst>
            </c:dLbl>
            <c:dLbl>
              <c:idx val="7"/>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F-B27A-4C3F-889A-FEC38C028EAB}"/>
                </c:ext>
              </c:extLst>
            </c:dLbl>
            <c:dLbl>
              <c:idx val="8"/>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11-B27A-4C3F-889A-FEC38C028EAB}"/>
                </c:ext>
              </c:extLst>
            </c:dLbl>
            <c:spPr>
              <a:noFill/>
              <a:ln>
                <a:noFill/>
              </a:ln>
              <a:effectLst/>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Calculations!$D$6:$D$14</c:f>
              <c:strCache>
                <c:ptCount val="9"/>
                <c:pt idx="0">
                  <c:v>Pop</c:v>
                </c:pt>
                <c:pt idx="1">
                  <c:v>Indie Pop</c:v>
                </c:pt>
                <c:pt idx="2">
                  <c:v>Alt Rock</c:v>
                </c:pt>
                <c:pt idx="3">
                  <c:v>Synth-Pop</c:v>
                </c:pt>
                <c:pt idx="4">
                  <c:v>Hip-Hop</c:v>
                </c:pt>
                <c:pt idx="5">
                  <c:v>Pop Rock</c:v>
                </c:pt>
                <c:pt idx="6">
                  <c:v>EDM/Pop</c:v>
                </c:pt>
                <c:pt idx="7">
                  <c:v>Afrobeats/Pop</c:v>
                </c:pt>
                <c:pt idx="8">
                  <c:v>Lainnya (31 genre niche)</c:v>
                </c:pt>
              </c:strCache>
            </c:strRef>
          </c:cat>
          <c:val>
            <c:numRef>
              <c:f>Calculations!$E$6:$E$14</c:f>
              <c:numCache>
                <c:formatCode>0.00</c:formatCode>
                <c:ptCount val="9"/>
                <c:pt idx="0">
                  <c:v>29.2</c:v>
                </c:pt>
                <c:pt idx="1">
                  <c:v>19.52</c:v>
                </c:pt>
                <c:pt idx="2">
                  <c:v>11.530000000000001</c:v>
                </c:pt>
                <c:pt idx="3">
                  <c:v>11.34</c:v>
                </c:pt>
                <c:pt idx="4">
                  <c:v>11.25</c:v>
                </c:pt>
                <c:pt idx="5">
                  <c:v>7.68</c:v>
                </c:pt>
                <c:pt idx="6">
                  <c:v>7.1400000000000006</c:v>
                </c:pt>
                <c:pt idx="7">
                  <c:v>4.54</c:v>
                </c:pt>
                <c:pt idx="8">
                  <c:v>62.239999999999924</c:v>
                </c:pt>
              </c:numCache>
            </c:numRef>
          </c:val>
          <c:extLst>
            <c:ext xmlns:c16="http://schemas.microsoft.com/office/drawing/2014/chart" uri="{C3380CC4-5D6E-409C-BE32-E72D297353CC}">
              <c16:uniqueId val="{00000012-B27A-4C3F-889A-FEC38C028EAB}"/>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spPr>
            <a:solidFill>
              <a:srgbClr val="2F75B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Calculations!$G$6:$G$10</c:f>
              <c:strCache>
                <c:ptCount val="5"/>
                <c:pt idx="0">
                  <c:v>1980-an</c:v>
                </c:pt>
                <c:pt idx="1">
                  <c:v>1990-an</c:v>
                </c:pt>
                <c:pt idx="2">
                  <c:v>2000-an</c:v>
                </c:pt>
                <c:pt idx="3">
                  <c:v>2010-an</c:v>
                </c:pt>
                <c:pt idx="4">
                  <c:v>2020-an</c:v>
                </c:pt>
              </c:strCache>
            </c:strRef>
          </c:cat>
          <c:val>
            <c:numRef>
              <c:f>Calculations!$H$6:$H$10</c:f>
              <c:numCache>
                <c:formatCode>0.00</c:formatCode>
                <c:ptCount val="5"/>
                <c:pt idx="0">
                  <c:v>1.1200000000000001</c:v>
                </c:pt>
                <c:pt idx="1">
                  <c:v>5.0199999999999996</c:v>
                </c:pt>
                <c:pt idx="2">
                  <c:v>5.5699999999999994</c:v>
                </c:pt>
                <c:pt idx="3">
                  <c:v>98.339999999999975</c:v>
                </c:pt>
                <c:pt idx="4">
                  <c:v>54.39</c:v>
                </c:pt>
              </c:numCache>
            </c:numRef>
          </c:val>
          <c:extLst>
            <c:ext xmlns:c16="http://schemas.microsoft.com/office/drawing/2014/chart" uri="{C3380CC4-5D6E-409C-BE32-E72D297353CC}">
              <c16:uniqueId val="{00000000-CC08-4CD2-A5E3-B1BDCF861ACE}"/>
            </c:ext>
          </c:extLst>
        </c:ser>
        <c:dLbls>
          <c:showLegendKey val="0"/>
          <c:showVal val="0"/>
          <c:showCatName val="0"/>
          <c:showSerName val="0"/>
          <c:showPercent val="0"/>
          <c:showBubbleSize val="0"/>
        </c:dLbls>
        <c:gapWidth val="150"/>
        <c:axId val="20779378"/>
        <c:axId val="25519102"/>
      </c:barChart>
      <c:catAx>
        <c:axId val="2077937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5519102"/>
        <c:crosses val="autoZero"/>
        <c:auto val="1"/>
        <c:lblAlgn val="ctr"/>
        <c:lblOffset val="100"/>
        <c:noMultiLvlLbl val="0"/>
      </c:catAx>
      <c:valAx>
        <c:axId val="25519102"/>
        <c:scaling>
          <c:orientation val="minMax"/>
        </c:scaling>
        <c:delete val="0"/>
        <c:axPos val="l"/>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07793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Calculations!$M$6:$M$105</c:f>
              <c:numCache>
                <c:formatCode>General</c:formatCode>
                <c:ptCount val="100"/>
                <c:pt idx="0">
                  <c:v>171</c:v>
                </c:pt>
                <c:pt idx="1">
                  <c:v>96</c:v>
                </c:pt>
                <c:pt idx="2">
                  <c:v>77</c:v>
                </c:pt>
                <c:pt idx="3">
                  <c:v>93</c:v>
                </c:pt>
                <c:pt idx="4">
                  <c:v>100</c:v>
                </c:pt>
                <c:pt idx="5">
                  <c:v>170</c:v>
                </c:pt>
                <c:pt idx="6">
                  <c:v>125</c:v>
                </c:pt>
                <c:pt idx="7">
                  <c:v>159</c:v>
                </c:pt>
                <c:pt idx="8">
                  <c:v>98</c:v>
                </c:pt>
                <c:pt idx="9">
                  <c:v>100</c:v>
                </c:pt>
                <c:pt idx="10">
                  <c:v>117</c:v>
                </c:pt>
                <c:pt idx="11">
                  <c:v>95</c:v>
                </c:pt>
                <c:pt idx="12">
                  <c:v>95</c:v>
                </c:pt>
                <c:pt idx="13">
                  <c:v>103</c:v>
                </c:pt>
                <c:pt idx="14">
                  <c:v>80</c:v>
                </c:pt>
                <c:pt idx="15">
                  <c:v>135</c:v>
                </c:pt>
                <c:pt idx="16">
                  <c:v>73</c:v>
                </c:pt>
                <c:pt idx="17">
                  <c:v>121</c:v>
                </c:pt>
                <c:pt idx="18">
                  <c:v>91</c:v>
                </c:pt>
                <c:pt idx="19">
                  <c:v>96</c:v>
                </c:pt>
                <c:pt idx="20">
                  <c:v>174</c:v>
                </c:pt>
                <c:pt idx="21">
                  <c:v>114</c:v>
                </c:pt>
                <c:pt idx="22">
                  <c:v>118</c:v>
                </c:pt>
                <c:pt idx="23">
                  <c:v>122</c:v>
                </c:pt>
                <c:pt idx="24">
                  <c:v>84</c:v>
                </c:pt>
                <c:pt idx="25">
                  <c:v>95</c:v>
                </c:pt>
                <c:pt idx="26">
                  <c:v>106</c:v>
                </c:pt>
                <c:pt idx="27">
                  <c:v>97</c:v>
                </c:pt>
                <c:pt idx="28">
                  <c:v>118</c:v>
                </c:pt>
                <c:pt idx="29">
                  <c:v>95</c:v>
                </c:pt>
                <c:pt idx="30">
                  <c:v>95</c:v>
                </c:pt>
                <c:pt idx="31">
                  <c:v>115</c:v>
                </c:pt>
                <c:pt idx="32">
                  <c:v>124</c:v>
                </c:pt>
                <c:pt idx="33">
                  <c:v>170</c:v>
                </c:pt>
                <c:pt idx="34">
                  <c:v>178</c:v>
                </c:pt>
                <c:pt idx="35">
                  <c:v>105</c:v>
                </c:pt>
                <c:pt idx="36">
                  <c:v>62</c:v>
                </c:pt>
                <c:pt idx="37">
                  <c:v>171</c:v>
                </c:pt>
                <c:pt idx="38">
                  <c:v>118</c:v>
                </c:pt>
                <c:pt idx="39">
                  <c:v>117</c:v>
                </c:pt>
                <c:pt idx="40">
                  <c:v>104</c:v>
                </c:pt>
                <c:pt idx="41">
                  <c:v>136</c:v>
                </c:pt>
                <c:pt idx="42">
                  <c:v>112</c:v>
                </c:pt>
                <c:pt idx="43">
                  <c:v>101</c:v>
                </c:pt>
                <c:pt idx="44">
                  <c:v>166</c:v>
                </c:pt>
                <c:pt idx="45">
                  <c:v>150</c:v>
                </c:pt>
                <c:pt idx="46">
                  <c:v>186</c:v>
                </c:pt>
                <c:pt idx="47">
                  <c:v>130</c:v>
                </c:pt>
                <c:pt idx="48">
                  <c:v>140</c:v>
                </c:pt>
                <c:pt idx="49">
                  <c:v>120</c:v>
                </c:pt>
                <c:pt idx="50">
                  <c:v>90</c:v>
                </c:pt>
                <c:pt idx="51">
                  <c:v>88</c:v>
                </c:pt>
                <c:pt idx="52">
                  <c:v>168</c:v>
                </c:pt>
                <c:pt idx="53">
                  <c:v>126</c:v>
                </c:pt>
                <c:pt idx="54">
                  <c:v>110</c:v>
                </c:pt>
                <c:pt idx="55">
                  <c:v>82</c:v>
                </c:pt>
                <c:pt idx="56">
                  <c:v>191</c:v>
                </c:pt>
                <c:pt idx="57">
                  <c:v>131</c:v>
                </c:pt>
                <c:pt idx="58">
                  <c:v>78</c:v>
                </c:pt>
                <c:pt idx="59">
                  <c:v>86</c:v>
                </c:pt>
                <c:pt idx="60">
                  <c:v>150</c:v>
                </c:pt>
                <c:pt idx="61">
                  <c:v>96</c:v>
                </c:pt>
                <c:pt idx="62">
                  <c:v>102</c:v>
                </c:pt>
                <c:pt idx="63">
                  <c:v>130</c:v>
                </c:pt>
                <c:pt idx="64">
                  <c:v>103</c:v>
                </c:pt>
                <c:pt idx="65">
                  <c:v>144</c:v>
                </c:pt>
                <c:pt idx="66">
                  <c:v>98</c:v>
                </c:pt>
                <c:pt idx="67">
                  <c:v>79</c:v>
                </c:pt>
                <c:pt idx="68">
                  <c:v>72</c:v>
                </c:pt>
                <c:pt idx="69">
                  <c:v>98</c:v>
                </c:pt>
                <c:pt idx="70">
                  <c:v>84</c:v>
                </c:pt>
                <c:pt idx="71">
                  <c:v>144</c:v>
                </c:pt>
                <c:pt idx="72">
                  <c:v>138</c:v>
                </c:pt>
                <c:pt idx="73">
                  <c:v>97</c:v>
                </c:pt>
                <c:pt idx="74">
                  <c:v>97</c:v>
                </c:pt>
                <c:pt idx="75">
                  <c:v>107</c:v>
                </c:pt>
                <c:pt idx="76">
                  <c:v>145</c:v>
                </c:pt>
                <c:pt idx="77">
                  <c:v>64</c:v>
                </c:pt>
                <c:pt idx="78">
                  <c:v>77</c:v>
                </c:pt>
                <c:pt idx="79">
                  <c:v>145</c:v>
                </c:pt>
                <c:pt idx="80">
                  <c:v>106</c:v>
                </c:pt>
                <c:pt idx="81">
                  <c:v>90</c:v>
                </c:pt>
                <c:pt idx="82">
                  <c:v>86</c:v>
                </c:pt>
                <c:pt idx="83">
                  <c:v>90</c:v>
                </c:pt>
                <c:pt idx="84">
                  <c:v>108</c:v>
                </c:pt>
                <c:pt idx="85">
                  <c:v>86</c:v>
                </c:pt>
                <c:pt idx="86">
                  <c:v>80</c:v>
                </c:pt>
                <c:pt idx="87">
                  <c:v>107</c:v>
                </c:pt>
                <c:pt idx="88">
                  <c:v>80</c:v>
                </c:pt>
                <c:pt idx="89">
                  <c:v>115</c:v>
                </c:pt>
                <c:pt idx="90">
                  <c:v>139</c:v>
                </c:pt>
                <c:pt idx="91">
                  <c:v>104</c:v>
                </c:pt>
                <c:pt idx="92">
                  <c:v>139</c:v>
                </c:pt>
                <c:pt idx="93">
                  <c:v>154</c:v>
                </c:pt>
                <c:pt idx="94">
                  <c:v>90</c:v>
                </c:pt>
                <c:pt idx="95">
                  <c:v>143</c:v>
                </c:pt>
                <c:pt idx="96">
                  <c:v>171</c:v>
                </c:pt>
                <c:pt idx="97">
                  <c:v>150</c:v>
                </c:pt>
                <c:pt idx="98">
                  <c:v>142</c:v>
                </c:pt>
                <c:pt idx="99">
                  <c:v>160</c:v>
                </c:pt>
              </c:numCache>
            </c:numRef>
          </c:xVal>
          <c:yVal>
            <c:numRef>
              <c:f>Calculations!$N$6:$N$105</c:f>
              <c:numCache>
                <c:formatCode>0.00</c:formatCode>
                <c:ptCount val="100"/>
                <c:pt idx="0">
                  <c:v>3.26</c:v>
                </c:pt>
                <c:pt idx="1">
                  <c:v>2.4900000000000002</c:v>
                </c:pt>
                <c:pt idx="2">
                  <c:v>2.4500000000000002</c:v>
                </c:pt>
                <c:pt idx="3">
                  <c:v>2.78</c:v>
                </c:pt>
                <c:pt idx="4">
                  <c:v>2.72</c:v>
                </c:pt>
                <c:pt idx="5">
                  <c:v>2.67</c:v>
                </c:pt>
                <c:pt idx="6">
                  <c:v>2.56</c:v>
                </c:pt>
                <c:pt idx="7">
                  <c:v>2.52</c:v>
                </c:pt>
                <c:pt idx="8">
                  <c:v>2.4900000000000002</c:v>
                </c:pt>
                <c:pt idx="9">
                  <c:v>2.4500000000000002</c:v>
                </c:pt>
                <c:pt idx="10">
                  <c:v>2.42</c:v>
                </c:pt>
                <c:pt idx="11">
                  <c:v>2.38</c:v>
                </c:pt>
                <c:pt idx="12">
                  <c:v>2.35</c:v>
                </c:pt>
                <c:pt idx="13">
                  <c:v>2.3199999999999998</c:v>
                </c:pt>
                <c:pt idx="14">
                  <c:v>1.84</c:v>
                </c:pt>
                <c:pt idx="15">
                  <c:v>2.17</c:v>
                </c:pt>
                <c:pt idx="16">
                  <c:v>2.14</c:v>
                </c:pt>
                <c:pt idx="17">
                  <c:v>2.11</c:v>
                </c:pt>
                <c:pt idx="18">
                  <c:v>2.08</c:v>
                </c:pt>
                <c:pt idx="19">
                  <c:v>2.0499999999999998</c:v>
                </c:pt>
                <c:pt idx="20">
                  <c:v>2.02</c:v>
                </c:pt>
                <c:pt idx="21">
                  <c:v>1.99</c:v>
                </c:pt>
                <c:pt idx="22">
                  <c:v>1.96</c:v>
                </c:pt>
                <c:pt idx="23">
                  <c:v>1.94</c:v>
                </c:pt>
                <c:pt idx="24">
                  <c:v>1.91</c:v>
                </c:pt>
                <c:pt idx="25">
                  <c:v>1.88</c:v>
                </c:pt>
                <c:pt idx="26">
                  <c:v>1.82</c:v>
                </c:pt>
                <c:pt idx="27">
                  <c:v>2.19</c:v>
                </c:pt>
                <c:pt idx="28">
                  <c:v>2.08</c:v>
                </c:pt>
                <c:pt idx="29">
                  <c:v>2.06</c:v>
                </c:pt>
                <c:pt idx="30">
                  <c:v>2.04</c:v>
                </c:pt>
                <c:pt idx="31">
                  <c:v>1.73</c:v>
                </c:pt>
                <c:pt idx="32">
                  <c:v>1.67</c:v>
                </c:pt>
                <c:pt idx="33">
                  <c:v>1.92</c:v>
                </c:pt>
                <c:pt idx="34">
                  <c:v>1.35</c:v>
                </c:pt>
                <c:pt idx="35">
                  <c:v>1.33</c:v>
                </c:pt>
                <c:pt idx="36">
                  <c:v>1.22</c:v>
                </c:pt>
                <c:pt idx="37">
                  <c:v>1.55</c:v>
                </c:pt>
                <c:pt idx="38">
                  <c:v>1.42</c:v>
                </c:pt>
                <c:pt idx="39">
                  <c:v>0.68</c:v>
                </c:pt>
                <c:pt idx="40">
                  <c:v>1.36</c:v>
                </c:pt>
                <c:pt idx="41">
                  <c:v>1.34</c:v>
                </c:pt>
                <c:pt idx="42">
                  <c:v>1.1200000000000001</c:v>
                </c:pt>
                <c:pt idx="43">
                  <c:v>0.65</c:v>
                </c:pt>
                <c:pt idx="44">
                  <c:v>1.08</c:v>
                </c:pt>
                <c:pt idx="45">
                  <c:v>1.96</c:v>
                </c:pt>
                <c:pt idx="46">
                  <c:v>1.82</c:v>
                </c:pt>
                <c:pt idx="47">
                  <c:v>1.79</c:v>
                </c:pt>
                <c:pt idx="48">
                  <c:v>1.76</c:v>
                </c:pt>
                <c:pt idx="49">
                  <c:v>1.44</c:v>
                </c:pt>
                <c:pt idx="50">
                  <c:v>0.66</c:v>
                </c:pt>
                <c:pt idx="51">
                  <c:v>1.24</c:v>
                </c:pt>
                <c:pt idx="52">
                  <c:v>2.29</c:v>
                </c:pt>
                <c:pt idx="53">
                  <c:v>1.22</c:v>
                </c:pt>
                <c:pt idx="54">
                  <c:v>0.66</c:v>
                </c:pt>
                <c:pt idx="55">
                  <c:v>1.54</c:v>
                </c:pt>
                <c:pt idx="56">
                  <c:v>1.52</c:v>
                </c:pt>
                <c:pt idx="57">
                  <c:v>1.25</c:v>
                </c:pt>
                <c:pt idx="58">
                  <c:v>1.49</c:v>
                </c:pt>
                <c:pt idx="59">
                  <c:v>1.46</c:v>
                </c:pt>
                <c:pt idx="60">
                  <c:v>1.22</c:v>
                </c:pt>
                <c:pt idx="61">
                  <c:v>2.25</c:v>
                </c:pt>
                <c:pt idx="62">
                  <c:v>2.13</c:v>
                </c:pt>
                <c:pt idx="63">
                  <c:v>2.02</c:v>
                </c:pt>
                <c:pt idx="64">
                  <c:v>1.29</c:v>
                </c:pt>
                <c:pt idx="65">
                  <c:v>1.85</c:v>
                </c:pt>
                <c:pt idx="66">
                  <c:v>2.2200000000000002</c:v>
                </c:pt>
                <c:pt idx="67">
                  <c:v>1.21</c:v>
                </c:pt>
                <c:pt idx="68">
                  <c:v>1.28</c:v>
                </c:pt>
                <c:pt idx="69">
                  <c:v>1.88</c:v>
                </c:pt>
                <c:pt idx="70">
                  <c:v>2.16</c:v>
                </c:pt>
                <c:pt idx="71">
                  <c:v>1.59</c:v>
                </c:pt>
                <c:pt idx="72">
                  <c:v>1.24</c:v>
                </c:pt>
                <c:pt idx="73">
                  <c:v>0.64</c:v>
                </c:pt>
                <c:pt idx="74">
                  <c:v>1.27</c:v>
                </c:pt>
                <c:pt idx="75">
                  <c:v>1.46</c:v>
                </c:pt>
                <c:pt idx="76">
                  <c:v>1.26</c:v>
                </c:pt>
                <c:pt idx="77">
                  <c:v>1.38</c:v>
                </c:pt>
                <c:pt idx="78">
                  <c:v>1.32</c:v>
                </c:pt>
                <c:pt idx="79">
                  <c:v>0.67</c:v>
                </c:pt>
                <c:pt idx="80">
                  <c:v>1.28</c:v>
                </c:pt>
                <c:pt idx="81">
                  <c:v>1.25</c:v>
                </c:pt>
                <c:pt idx="82">
                  <c:v>1.23</c:v>
                </c:pt>
                <c:pt idx="83">
                  <c:v>1.25</c:v>
                </c:pt>
                <c:pt idx="84">
                  <c:v>0.69</c:v>
                </c:pt>
                <c:pt idx="85">
                  <c:v>1.48</c:v>
                </c:pt>
                <c:pt idx="86">
                  <c:v>1.02</c:v>
                </c:pt>
                <c:pt idx="87">
                  <c:v>1.04</c:v>
                </c:pt>
                <c:pt idx="88">
                  <c:v>1.28</c:v>
                </c:pt>
                <c:pt idx="89">
                  <c:v>1.43</c:v>
                </c:pt>
                <c:pt idx="90">
                  <c:v>0.66</c:v>
                </c:pt>
                <c:pt idx="91">
                  <c:v>1.1399999999999999</c:v>
                </c:pt>
                <c:pt idx="92">
                  <c:v>1.06</c:v>
                </c:pt>
                <c:pt idx="93">
                  <c:v>1.22</c:v>
                </c:pt>
                <c:pt idx="94">
                  <c:v>1.18</c:v>
                </c:pt>
                <c:pt idx="95">
                  <c:v>1.52</c:v>
                </c:pt>
                <c:pt idx="96">
                  <c:v>1.04</c:v>
                </c:pt>
                <c:pt idx="97">
                  <c:v>1.1599999999999999</c:v>
                </c:pt>
                <c:pt idx="98">
                  <c:v>1.85</c:v>
                </c:pt>
                <c:pt idx="99">
                  <c:v>0.66</c:v>
                </c:pt>
              </c:numCache>
            </c:numRef>
          </c:yVal>
          <c:smooth val="1"/>
          <c:extLst>
            <c:ext xmlns:c16="http://schemas.microsoft.com/office/drawing/2014/chart" uri="{C3380CC4-5D6E-409C-BE32-E72D297353CC}">
              <c16:uniqueId val="{00000000-262A-4910-A347-0BB5C0A5D17F}"/>
            </c:ext>
          </c:extLst>
        </c:ser>
        <c:dLbls>
          <c:showLegendKey val="0"/>
          <c:showVal val="0"/>
          <c:showCatName val="0"/>
          <c:showSerName val="0"/>
          <c:showPercent val="0"/>
          <c:showBubbleSize val="0"/>
        </c:dLbls>
        <c:axId val="38444413"/>
        <c:axId val="96768002"/>
      </c:scatterChart>
      <c:valAx>
        <c:axId val="3844441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BPM</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68002"/>
        <c:crosses val="autoZero"/>
        <c:crossBetween val="midCat"/>
      </c:valAx>
      <c:valAx>
        <c:axId val="9676800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Streams (Miliar)</a:t>
                </a:r>
              </a:p>
            </c:rich>
          </c:tx>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44413"/>
        <c:crosses val="autoZero"/>
        <c:crossBetween val="midCat"/>
      </c:valAx>
      <c:spPr>
        <a:noFill/>
        <a:ln>
          <a:noFill/>
        </a:ln>
        <a:effectLst/>
      </c:spPr>
    </c:plotArea>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299358</xdr:colOff>
      <xdr:row>6</xdr:row>
      <xdr:rowOff>38100</xdr:rowOff>
    </xdr:from>
    <xdr:to>
      <xdr:col>3</xdr:col>
      <xdr:colOff>298089</xdr:colOff>
      <xdr:row>12</xdr:row>
      <xdr:rowOff>45720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14545</xdr:colOff>
      <xdr:row>6</xdr:row>
      <xdr:rowOff>45720</xdr:rowOff>
    </xdr:from>
    <xdr:to>
      <xdr:col>8</xdr:col>
      <xdr:colOff>474062</xdr:colOff>
      <xdr:row>12</xdr:row>
      <xdr:rowOff>38100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464820</xdr:colOff>
      <xdr:row>6</xdr:row>
      <xdr:rowOff>45720</xdr:rowOff>
    </xdr:from>
    <xdr:to>
      <xdr:col>14</xdr:col>
      <xdr:colOff>182880</xdr:colOff>
      <xdr:row>12</xdr:row>
      <xdr:rowOff>45720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10886</xdr:rowOff>
    </xdr:from>
    <xdr:to>
      <xdr:col>5</xdr:col>
      <xdr:colOff>581118</xdr:colOff>
      <xdr:row>32</xdr:row>
      <xdr:rowOff>118166</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228600</xdr:colOff>
      <xdr:row>19</xdr:row>
      <xdr:rowOff>10886</xdr:rowOff>
    </xdr:from>
    <xdr:to>
      <xdr:col>16</xdr:col>
      <xdr:colOff>6</xdr:colOff>
      <xdr:row>32</xdr:row>
      <xdr:rowOff>118166</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18585</xdr:colOff>
      <xdr:row>40</xdr:row>
      <xdr:rowOff>11151</xdr:rowOff>
    </xdr:from>
    <xdr:to>
      <xdr:col>5</xdr:col>
      <xdr:colOff>599703</xdr:colOff>
      <xdr:row>53</xdr:row>
      <xdr:rowOff>118431</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228600</xdr:colOff>
      <xdr:row>40</xdr:row>
      <xdr:rowOff>26205</xdr:rowOff>
    </xdr:from>
    <xdr:to>
      <xdr:col>16</xdr:col>
      <xdr:colOff>6</xdr:colOff>
      <xdr:row>53</xdr:row>
      <xdr:rowOff>133485</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5"/>
  <sheetViews>
    <sheetView showGridLines="0" tabSelected="1" topLeftCell="A5" zoomScaleNormal="100" workbookViewId="0">
      <selection activeCell="I7" sqref="I7:L7"/>
    </sheetView>
  </sheetViews>
  <sheetFormatPr defaultColWidth="8.6640625" defaultRowHeight="14.4" x14ac:dyDescent="0.3"/>
  <cols>
    <col min="1" max="12" width="14.88671875" customWidth="1"/>
  </cols>
  <sheetData>
    <row r="1" spans="1:12" ht="39.75" customHeight="1" x14ac:dyDescent="0.3">
      <c r="A1" s="13" t="s">
        <v>0</v>
      </c>
      <c r="B1" s="13"/>
      <c r="C1" s="13"/>
      <c r="D1" s="13"/>
      <c r="E1" s="13"/>
      <c r="F1" s="13"/>
      <c r="G1" s="13"/>
      <c r="H1" s="13"/>
      <c r="I1" s="13"/>
      <c r="J1" s="13"/>
      <c r="K1" s="13"/>
      <c r="L1" s="13"/>
    </row>
    <row r="3" spans="1:12" ht="15" customHeight="1" x14ac:dyDescent="0.3">
      <c r="A3" s="12" t="s">
        <v>1</v>
      </c>
      <c r="B3" s="12"/>
      <c r="C3" s="12"/>
      <c r="D3" s="12"/>
      <c r="E3" s="12"/>
      <c r="F3" s="12"/>
      <c r="G3" s="12"/>
      <c r="H3" s="12"/>
      <c r="I3" s="12"/>
      <c r="J3" s="12"/>
      <c r="K3" s="12"/>
      <c r="L3" s="12"/>
    </row>
    <row r="4" spans="1:12" ht="15" customHeight="1" x14ac:dyDescent="0.3">
      <c r="A4" s="11" t="s">
        <v>2</v>
      </c>
      <c r="B4" s="11"/>
      <c r="C4" s="11"/>
      <c r="D4" s="11"/>
      <c r="E4" s="11"/>
      <c r="F4" s="11"/>
      <c r="G4" s="11"/>
      <c r="H4" s="11"/>
      <c r="I4" s="11"/>
      <c r="J4" s="11"/>
      <c r="K4" s="11"/>
      <c r="L4" s="11"/>
    </row>
    <row r="6" spans="1:12" ht="15" customHeight="1" x14ac:dyDescent="0.3">
      <c r="A6" s="10" t="s">
        <v>3</v>
      </c>
      <c r="B6" s="10"/>
      <c r="C6" s="10"/>
      <c r="D6" s="10"/>
      <c r="E6" s="10" t="s">
        <v>4</v>
      </c>
      <c r="F6" s="10"/>
      <c r="G6" s="10"/>
      <c r="H6" s="10"/>
      <c r="I6" s="10" t="s">
        <v>5</v>
      </c>
      <c r="J6" s="10"/>
      <c r="K6" s="10"/>
      <c r="L6" s="10"/>
    </row>
    <row r="7" spans="1:12" ht="21.75" customHeight="1" x14ac:dyDescent="0.4">
      <c r="A7" s="9" t="str">
        <f>COUNTA('Raw Data'!B5:B104)&amp;" Lagu"</f>
        <v>100 Lagu</v>
      </c>
      <c r="B7" s="9"/>
      <c r="C7" s="9"/>
      <c r="D7" s="9"/>
      <c r="E7" s="9" t="str">
        <f>Dashboard!D17&amp;" Artis"</f>
        <v>80 Artis</v>
      </c>
      <c r="F7" s="9"/>
      <c r="G7" s="9"/>
      <c r="H7" s="9"/>
      <c r="I7" s="9" t="str">
        <f>TEXT(Dashboard!G17,"0.0")&amp;" Miliar"</f>
        <v>164 Miliar</v>
      </c>
      <c r="J7" s="9"/>
      <c r="K7" s="9"/>
      <c r="L7" s="9"/>
    </row>
    <row r="9" spans="1:12" ht="15" customHeight="1" x14ac:dyDescent="0.3">
      <c r="A9" s="8" t="s">
        <v>6</v>
      </c>
      <c r="B9" s="8"/>
      <c r="C9" s="8"/>
      <c r="D9" s="8"/>
      <c r="E9" s="8"/>
      <c r="F9" s="8"/>
      <c r="G9" s="8"/>
      <c r="H9" s="8"/>
      <c r="I9" s="8"/>
      <c r="J9" s="8"/>
      <c r="K9" s="8"/>
      <c r="L9" s="8"/>
    </row>
    <row r="10" spans="1:12" ht="15" customHeight="1" x14ac:dyDescent="0.3">
      <c r="A10" s="7" t="s">
        <v>7</v>
      </c>
      <c r="B10" s="7"/>
      <c r="C10" s="7"/>
      <c r="D10" s="7"/>
      <c r="E10" s="7"/>
      <c r="F10" s="7"/>
      <c r="G10" s="7"/>
      <c r="H10" s="7"/>
      <c r="I10" s="7"/>
      <c r="J10" s="7"/>
      <c r="K10" s="7"/>
      <c r="L10" s="7"/>
    </row>
    <row r="11" spans="1:12" ht="15" customHeight="1" x14ac:dyDescent="0.3">
      <c r="A11" s="7"/>
      <c r="B11" s="7"/>
      <c r="C11" s="7"/>
      <c r="D11" s="7"/>
      <c r="E11" s="7"/>
      <c r="F11" s="7"/>
      <c r="G11" s="7"/>
      <c r="H11" s="7"/>
      <c r="I11" s="7"/>
      <c r="J11" s="7"/>
      <c r="K11" s="7"/>
      <c r="L11" s="7"/>
    </row>
    <row r="12" spans="1:12" ht="15" customHeight="1" x14ac:dyDescent="0.3">
      <c r="A12" s="121" t="s">
        <v>8</v>
      </c>
      <c r="B12" s="121"/>
      <c r="C12" s="121"/>
      <c r="D12" s="121"/>
      <c r="E12" s="121"/>
      <c r="F12" s="121"/>
      <c r="G12" s="121"/>
      <c r="H12" s="121"/>
      <c r="I12" s="121"/>
      <c r="J12" s="121"/>
      <c r="K12" s="121"/>
      <c r="L12" s="121"/>
    </row>
    <row r="13" spans="1:12" ht="15" customHeight="1" x14ac:dyDescent="0.3">
      <c r="A13" s="7" t="s">
        <v>9</v>
      </c>
      <c r="B13" s="7"/>
      <c r="C13" s="7"/>
      <c r="D13" s="7"/>
      <c r="E13" s="7"/>
      <c r="F13" s="7"/>
      <c r="G13" s="7"/>
      <c r="H13" s="7"/>
      <c r="I13" s="7"/>
      <c r="J13" s="7"/>
      <c r="K13" s="7"/>
      <c r="L13" s="7"/>
    </row>
    <row r="15" spans="1:12" ht="15" customHeight="1" x14ac:dyDescent="0.3">
      <c r="A15" s="6" t="s">
        <v>10</v>
      </c>
      <c r="B15" s="6"/>
      <c r="C15" s="6"/>
      <c r="D15" s="6"/>
      <c r="E15" s="6"/>
      <c r="F15" s="6"/>
      <c r="G15" s="6"/>
      <c r="H15" s="6"/>
      <c r="I15" s="6"/>
      <c r="J15" s="6"/>
      <c r="K15" s="6"/>
      <c r="L15" s="6"/>
    </row>
    <row r="17" spans="1:12" ht="15" customHeight="1" x14ac:dyDescent="0.3">
      <c r="A17" s="8" t="s">
        <v>11</v>
      </c>
      <c r="B17" s="8"/>
      <c r="C17" s="8"/>
      <c r="D17" s="8"/>
      <c r="E17" s="8"/>
      <c r="F17" s="8"/>
      <c r="G17" s="8" t="s">
        <v>12</v>
      </c>
      <c r="H17" s="8"/>
      <c r="I17" s="8"/>
      <c r="J17" s="8"/>
      <c r="K17" s="8"/>
      <c r="L17" s="8"/>
    </row>
    <row r="18" spans="1:12" ht="15" customHeight="1" x14ac:dyDescent="0.3">
      <c r="A18" s="5" t="s">
        <v>13</v>
      </c>
      <c r="B18" s="5"/>
      <c r="C18" s="4" t="s">
        <v>14</v>
      </c>
      <c r="D18" s="4"/>
      <c r="E18" s="4"/>
      <c r="F18" s="4"/>
      <c r="G18" s="4" t="s">
        <v>15</v>
      </c>
      <c r="H18" s="4"/>
      <c r="I18" s="4"/>
      <c r="J18" s="4"/>
      <c r="K18" s="4"/>
      <c r="L18" s="4"/>
    </row>
    <row r="19" spans="1:12" ht="15" customHeight="1" x14ac:dyDescent="0.3">
      <c r="A19" s="3" t="s">
        <v>16</v>
      </c>
      <c r="B19" s="3"/>
      <c r="C19" s="2" t="s">
        <v>17</v>
      </c>
      <c r="D19" s="2"/>
      <c r="E19" s="2"/>
      <c r="F19" s="2"/>
      <c r="G19" s="2" t="s">
        <v>18</v>
      </c>
      <c r="H19" s="2"/>
      <c r="I19" s="2"/>
      <c r="J19" s="2"/>
      <c r="K19" s="2"/>
      <c r="L19" s="2"/>
    </row>
    <row r="20" spans="1:12" ht="15" customHeight="1" x14ac:dyDescent="0.3">
      <c r="A20" s="5" t="s">
        <v>19</v>
      </c>
      <c r="B20" s="5"/>
      <c r="C20" s="4" t="s">
        <v>20</v>
      </c>
      <c r="D20" s="4"/>
      <c r="E20" s="4"/>
      <c r="F20" s="4"/>
      <c r="G20" s="4" t="s">
        <v>21</v>
      </c>
      <c r="H20" s="4"/>
      <c r="I20" s="4"/>
      <c r="J20" s="4"/>
      <c r="K20" s="4"/>
      <c r="L20" s="4"/>
    </row>
    <row r="21" spans="1:12" ht="15" customHeight="1" x14ac:dyDescent="0.3">
      <c r="A21" s="3" t="s">
        <v>22</v>
      </c>
      <c r="B21" s="3"/>
      <c r="C21" s="2" t="s">
        <v>23</v>
      </c>
      <c r="D21" s="2"/>
      <c r="E21" s="2"/>
      <c r="F21" s="2"/>
      <c r="G21" s="2" t="s">
        <v>24</v>
      </c>
      <c r="H21" s="2"/>
      <c r="I21" s="2"/>
      <c r="J21" s="2"/>
      <c r="K21" s="2"/>
      <c r="L21" s="2"/>
    </row>
    <row r="22" spans="1:12" ht="15" customHeight="1" x14ac:dyDescent="0.3">
      <c r="A22" s="5" t="s">
        <v>25</v>
      </c>
      <c r="B22" s="5"/>
      <c r="C22" s="4" t="s">
        <v>26</v>
      </c>
      <c r="D22" s="4"/>
      <c r="E22" s="4"/>
      <c r="F22" s="4"/>
      <c r="G22" s="4" t="s">
        <v>27</v>
      </c>
      <c r="H22" s="4"/>
      <c r="I22" s="4"/>
      <c r="J22" s="4"/>
      <c r="K22" s="4"/>
      <c r="L22" s="4"/>
    </row>
    <row r="23" spans="1:12" ht="15" customHeight="1" x14ac:dyDescent="0.3">
      <c r="A23" s="3" t="s">
        <v>28</v>
      </c>
      <c r="B23" s="3"/>
      <c r="C23" s="2" t="s">
        <v>29</v>
      </c>
      <c r="D23" s="2"/>
      <c r="E23" s="2"/>
      <c r="F23" s="2"/>
      <c r="G23" s="2" t="s">
        <v>30</v>
      </c>
      <c r="H23" s="2"/>
      <c r="I23" s="2"/>
      <c r="J23" s="2"/>
      <c r="K23" s="2"/>
      <c r="L23" s="2"/>
    </row>
    <row r="24" spans="1:12" ht="15" customHeight="1" x14ac:dyDescent="0.3">
      <c r="A24" s="5" t="s">
        <v>31</v>
      </c>
      <c r="B24" s="5"/>
      <c r="C24" s="4" t="s">
        <v>32</v>
      </c>
      <c r="D24" s="4"/>
      <c r="E24" s="4"/>
      <c r="F24" s="4"/>
      <c r="G24" s="4" t="s">
        <v>33</v>
      </c>
      <c r="H24" s="4"/>
      <c r="I24" s="4"/>
      <c r="J24" s="4"/>
      <c r="K24" s="4"/>
      <c r="L24" s="4"/>
    </row>
    <row r="25" spans="1:12" ht="15" customHeight="1" x14ac:dyDescent="0.3">
      <c r="A25" s="3" t="s">
        <v>34</v>
      </c>
      <c r="B25" s="3"/>
      <c r="C25" s="2" t="s">
        <v>35</v>
      </c>
      <c r="D25" s="2"/>
      <c r="E25" s="2"/>
      <c r="F25" s="2"/>
    </row>
  </sheetData>
  <mergeCells count="39">
    <mergeCell ref="A24:B24"/>
    <mergeCell ref="C24:F24"/>
    <mergeCell ref="G24:L24"/>
    <mergeCell ref="A25:B25"/>
    <mergeCell ref="C25:F25"/>
    <mergeCell ref="A22:B22"/>
    <mergeCell ref="C22:F22"/>
    <mergeCell ref="G22:L22"/>
    <mergeCell ref="A23:B23"/>
    <mergeCell ref="C23:F23"/>
    <mergeCell ref="G23:L23"/>
    <mergeCell ref="A20:B20"/>
    <mergeCell ref="C20:F20"/>
    <mergeCell ref="G20:L20"/>
    <mergeCell ref="A21:B21"/>
    <mergeCell ref="C21:F21"/>
    <mergeCell ref="G21:L21"/>
    <mergeCell ref="A18:B18"/>
    <mergeCell ref="C18:F18"/>
    <mergeCell ref="G18:L18"/>
    <mergeCell ref="A19:B19"/>
    <mergeCell ref="C19:F19"/>
    <mergeCell ref="G19:L19"/>
    <mergeCell ref="A13:L13"/>
    <mergeCell ref="A15:L15"/>
    <mergeCell ref="A17:F17"/>
    <mergeCell ref="G17:L17"/>
    <mergeCell ref="A12:L12"/>
    <mergeCell ref="A7:D7"/>
    <mergeCell ref="E7:H7"/>
    <mergeCell ref="I7:L7"/>
    <mergeCell ref="A9:L9"/>
    <mergeCell ref="A10:L11"/>
    <mergeCell ref="A1:L1"/>
    <mergeCell ref="A3:L3"/>
    <mergeCell ref="A4:L4"/>
    <mergeCell ref="A6:D6"/>
    <mergeCell ref="E6:H6"/>
    <mergeCell ref="I6:L6"/>
  </mergeCells>
  <printOptions horizontalCentered="1"/>
  <pageMargins left="0.15" right="0.15" top="0.4" bottom="0.4" header="0.511811023622047" footer="0.15"/>
  <pageSetup scale="76" fitToHeight="0" orientation="landscape" horizontalDpi="300" verticalDpi="300" r:id="rId1"/>
  <headerFooter>
    <oddFooter>&amp;L&amp;8 &amp;K666666Rifal Azhar Permana — Spotify Music Trend Analytics&amp;R&amp;8 &amp;K666666Page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74"/>
  <sheetViews>
    <sheetView showGridLines="0" tabSelected="1" topLeftCell="A14" zoomScale="55" zoomScaleNormal="55" workbookViewId="0">
      <selection activeCell="I7" sqref="I7:L7"/>
    </sheetView>
  </sheetViews>
  <sheetFormatPr defaultColWidth="8.6640625" defaultRowHeight="14.4" x14ac:dyDescent="0.3"/>
  <cols>
    <col min="1" max="1" width="9" customWidth="1"/>
    <col min="2" max="2" width="15.21875" bestFit="1" customWidth="1"/>
    <col min="3" max="16" width="9" customWidth="1"/>
  </cols>
  <sheetData>
    <row r="1" spans="1:16" ht="31.5" customHeight="1" x14ac:dyDescent="0.3">
      <c r="A1" s="109" t="s">
        <v>36</v>
      </c>
      <c r="B1" s="109"/>
      <c r="C1" s="109"/>
      <c r="D1" s="109"/>
      <c r="E1" s="109"/>
      <c r="F1" s="109"/>
      <c r="G1" s="109"/>
      <c r="H1" s="109"/>
      <c r="I1" s="109"/>
      <c r="J1" s="109"/>
      <c r="K1" s="109"/>
      <c r="L1" s="109"/>
      <c r="M1" s="109"/>
      <c r="N1" s="109"/>
      <c r="O1" s="109"/>
      <c r="P1" s="109"/>
    </row>
    <row r="2" spans="1:16" ht="15" customHeight="1" x14ac:dyDescent="0.3">
      <c r="A2" s="1" t="s">
        <v>37</v>
      </c>
      <c r="B2" s="1"/>
      <c r="C2" s="1"/>
      <c r="D2" s="1"/>
      <c r="E2" s="1"/>
      <c r="F2" s="1"/>
      <c r="G2" s="1"/>
      <c r="H2" s="1"/>
      <c r="I2" s="1"/>
      <c r="J2" s="1"/>
      <c r="K2" s="1"/>
      <c r="L2" s="1"/>
      <c r="M2" s="1"/>
      <c r="N2" s="1"/>
      <c r="O2" s="1"/>
      <c r="P2" s="1"/>
    </row>
    <row r="3" spans="1:16" ht="15" customHeight="1" x14ac:dyDescent="0.3">
      <c r="A3" s="15" t="s">
        <v>38</v>
      </c>
      <c r="B3" s="120" t="s">
        <v>39</v>
      </c>
      <c r="D3" s="26" t="s">
        <v>40</v>
      </c>
      <c r="E3" s="26"/>
      <c r="F3" s="26"/>
      <c r="G3" s="26"/>
      <c r="H3" s="26"/>
      <c r="I3" s="26"/>
      <c r="J3" s="26"/>
      <c r="K3" s="26"/>
      <c r="L3" s="26"/>
      <c r="M3" s="26"/>
      <c r="N3" s="26"/>
      <c r="O3" s="26"/>
      <c r="P3" s="26"/>
    </row>
    <row r="5" spans="1:16" ht="15" customHeight="1" x14ac:dyDescent="0.3">
      <c r="A5" s="84" t="s">
        <v>41</v>
      </c>
      <c r="B5" s="84"/>
      <c r="C5" s="84"/>
      <c r="D5" s="84"/>
      <c r="E5" s="84"/>
      <c r="F5" s="84"/>
      <c r="G5" s="84"/>
      <c r="H5" s="84"/>
      <c r="I5" s="84"/>
      <c r="J5" s="84"/>
      <c r="K5" s="84"/>
      <c r="L5" s="84"/>
      <c r="M5" s="84"/>
      <c r="N5" s="84"/>
      <c r="O5" s="84"/>
      <c r="P5" s="84"/>
    </row>
    <row r="6" spans="1:16" ht="15" customHeight="1" x14ac:dyDescent="0.3">
      <c r="A6" s="27" t="s">
        <v>42</v>
      </c>
      <c r="B6" s="27"/>
      <c r="C6" s="27"/>
      <c r="D6" s="27"/>
      <c r="E6" s="27"/>
      <c r="F6" s="27" t="s">
        <v>43</v>
      </c>
      <c r="G6" s="27"/>
      <c r="H6" s="27"/>
      <c r="I6" s="27"/>
      <c r="J6" s="27"/>
      <c r="K6" s="27" t="s">
        <v>44</v>
      </c>
      <c r="L6" s="27"/>
      <c r="M6" s="27"/>
      <c r="N6" s="27"/>
      <c r="O6" s="27"/>
      <c r="P6" s="27"/>
    </row>
    <row r="7" spans="1:16" x14ac:dyDescent="0.3">
      <c r="I7" t="str">
        <f>TEXT(Dashboard!G17,"0.0")&amp;" Miliar"</f>
        <v>164 Miliar</v>
      </c>
    </row>
    <row r="14" spans="1:16" ht="21.6" customHeight="1" x14ac:dyDescent="0.4">
      <c r="A14" s="28" t="str">
        <f>Calculations!Q5&amp;"%"</f>
        <v>54%</v>
      </c>
      <c r="B14" s="28"/>
      <c r="C14" s="28"/>
      <c r="D14" s="28"/>
      <c r="E14" s="28"/>
      <c r="F14" s="28" t="str">
        <f>Calculations!Q6&amp;"%"</f>
        <v>55%</v>
      </c>
      <c r="G14" s="28"/>
      <c r="H14" s="28"/>
      <c r="I14" s="28"/>
      <c r="J14" s="28"/>
      <c r="K14" s="28" t="str">
        <f>Calculations!Q7&amp;"%"</f>
        <v>13%</v>
      </c>
      <c r="L14" s="28"/>
      <c r="M14" s="28"/>
      <c r="N14" s="28"/>
      <c r="O14" s="28"/>
      <c r="P14" s="28"/>
    </row>
    <row r="15" spans="1:16" ht="21.6" customHeight="1" x14ac:dyDescent="0.4">
      <c r="A15" s="16"/>
      <c r="B15" s="16"/>
      <c r="C15" s="16"/>
      <c r="D15" s="16"/>
      <c r="E15" s="16"/>
      <c r="F15" s="16"/>
      <c r="G15" s="16"/>
      <c r="H15" s="16"/>
      <c r="I15" s="16"/>
      <c r="J15" s="16"/>
      <c r="K15" s="16"/>
      <c r="L15" s="16"/>
      <c r="M15" s="16"/>
      <c r="N15" s="16"/>
      <c r="O15" s="16"/>
      <c r="P15" s="16"/>
    </row>
    <row r="16" spans="1:16" ht="18" customHeight="1" x14ac:dyDescent="0.3">
      <c r="A16" s="113" t="s">
        <v>45</v>
      </c>
      <c r="B16" s="113"/>
      <c r="C16" s="113"/>
      <c r="D16" s="113" t="s">
        <v>4</v>
      </c>
      <c r="E16" s="113"/>
      <c r="F16" s="113"/>
      <c r="G16" s="113" t="s">
        <v>46</v>
      </c>
      <c r="H16" s="113"/>
      <c r="I16" s="113"/>
      <c r="J16" s="113" t="s">
        <v>47</v>
      </c>
      <c r="K16" s="113"/>
      <c r="L16" s="113"/>
      <c r="M16" s="113" t="s">
        <v>48</v>
      </c>
      <c r="N16" s="113"/>
      <c r="O16" s="113"/>
      <c r="P16" s="113"/>
    </row>
    <row r="17" spans="1:16" ht="31.5" customHeight="1" x14ac:dyDescent="0.3">
      <c r="A17" s="110">
        <f>IF($B$3="Semua Genre",COUNTA('Raw Data'!$B$5:$B$104),COUNTIF('Raw Data'!$E$5:$E$104,$B$3))</f>
        <v>100</v>
      </c>
      <c r="B17" s="110"/>
      <c r="C17" s="110"/>
      <c r="D17" s="110">
        <f>IF($B$3="Semua Genre",SUMPRODUCT((COUNTIF('Raw Data'!$C$5:$C$104,'Raw Data'!$C$5:$C$104))^-1),SUMPRODUCT(('Raw Data'!$E$5:$E$104=$B$3)*1/(COUNTIFS('Raw Data'!$C$5:$C$104,'Raw Data'!$C$5:$C$104,'Raw Data'!$E$5:$E$104,$B$3)+('Raw Data'!$E$5:$E$104&lt;&gt;$B$3))))</f>
        <v>80.000000000000014</v>
      </c>
      <c r="E17" s="110"/>
      <c r="F17" s="110"/>
      <c r="G17" s="111">
        <f>IF($B$3="Semua Genre",SUM('Raw Data'!$D$5:$D$104),SUMIF('Raw Data'!$E$5:$E$104,$B$3,'Raw Data'!$D$5:$D$104))</f>
        <v>164.43999999999994</v>
      </c>
      <c r="H17" s="111"/>
      <c r="I17" s="111"/>
      <c r="J17" s="111">
        <f>IF($B$3="Semua Genre",AVERAGE('Raw Data'!$F$5:$F$104),AVERAGEIF('Raw Data'!$E$5:$E$104,$B$3,'Raw Data'!$F$5:$F$104))</f>
        <v>115.78</v>
      </c>
      <c r="K17" s="111"/>
      <c r="L17" s="111"/>
      <c r="M17" s="112" t="str">
        <f>'Genre Analysis'!A5</f>
        <v>Pop</v>
      </c>
      <c r="N17" s="112"/>
      <c r="O17" s="112"/>
      <c r="P17" s="112"/>
    </row>
    <row r="19" spans="1:16" ht="15" customHeight="1" x14ac:dyDescent="0.3">
      <c r="A19" s="87" t="s">
        <v>49</v>
      </c>
      <c r="B19" s="87"/>
      <c r="C19" s="87"/>
      <c r="D19" s="87"/>
      <c r="E19" s="87"/>
      <c r="F19" s="87"/>
      <c r="G19" s="87"/>
      <c r="H19" s="87"/>
      <c r="I19" s="87" t="s">
        <v>50</v>
      </c>
      <c r="J19" s="87"/>
      <c r="K19" s="87"/>
      <c r="L19" s="87"/>
      <c r="M19" s="87"/>
      <c r="N19" s="87"/>
      <c r="O19" s="87"/>
      <c r="P19" s="87"/>
    </row>
    <row r="40" spans="1:16" ht="15" customHeight="1" x14ac:dyDescent="0.3">
      <c r="A40" s="87" t="s">
        <v>51</v>
      </c>
      <c r="B40" s="87"/>
      <c r="C40" s="87"/>
      <c r="D40" s="87"/>
      <c r="E40" s="87"/>
      <c r="F40" s="87"/>
      <c r="G40" s="87"/>
      <c r="H40" s="87"/>
      <c r="I40" s="87" t="s">
        <v>52</v>
      </c>
      <c r="J40" s="87"/>
      <c r="K40" s="87"/>
      <c r="L40" s="87"/>
      <c r="M40" s="87"/>
      <c r="N40" s="87"/>
      <c r="O40" s="87"/>
      <c r="P40" s="87"/>
    </row>
    <row r="58" spans="1:16" ht="15" customHeight="1" x14ac:dyDescent="0.3">
      <c r="A58" s="115" t="s">
        <v>53</v>
      </c>
      <c r="B58" s="115"/>
      <c r="C58" s="115"/>
      <c r="D58" s="115"/>
      <c r="E58" s="115"/>
      <c r="F58" s="115"/>
      <c r="G58" s="115"/>
      <c r="H58" s="115"/>
      <c r="I58" s="115"/>
      <c r="J58" s="115"/>
      <c r="K58" s="115"/>
      <c r="L58" s="115"/>
      <c r="M58" s="115"/>
      <c r="N58" s="115"/>
      <c r="O58" s="115"/>
      <c r="P58" s="115"/>
    </row>
    <row r="59" spans="1:16" ht="15" customHeight="1" x14ac:dyDescent="0.3">
      <c r="A59" s="90" t="s">
        <v>54</v>
      </c>
      <c r="B59" s="90"/>
      <c r="C59" s="90" t="s">
        <v>55</v>
      </c>
      <c r="D59" s="90"/>
      <c r="E59" s="90"/>
      <c r="F59" s="90"/>
      <c r="G59" s="90" t="s">
        <v>56</v>
      </c>
      <c r="H59" s="90"/>
      <c r="I59" s="90"/>
      <c r="J59" s="90"/>
      <c r="K59" s="90" t="s">
        <v>38</v>
      </c>
      <c r="L59" s="90"/>
      <c r="M59" s="90" t="s">
        <v>57</v>
      </c>
      <c r="N59" s="90"/>
      <c r="O59" s="114" t="s">
        <v>58</v>
      </c>
      <c r="P59" s="114" t="s">
        <v>59</v>
      </c>
    </row>
    <row r="60" spans="1:16" ht="15" customHeight="1" x14ac:dyDescent="0.3">
      <c r="A60" s="116">
        <f>'Raw Data'!A5</f>
        <v>1</v>
      </c>
      <c r="B60" s="116"/>
      <c r="C60" s="30" t="str">
        <f>'Raw Data'!B5</f>
        <v>Blinding Lights</v>
      </c>
      <c r="D60" s="30"/>
      <c r="E60" s="30"/>
      <c r="F60" s="30"/>
      <c r="G60" s="30" t="str">
        <f>'Raw Data'!C5</f>
        <v>The Weeknd</v>
      </c>
      <c r="H60" s="30"/>
      <c r="I60" s="30"/>
      <c r="J60" s="30"/>
      <c r="K60" s="30" t="str">
        <f>'Raw Data'!E5</f>
        <v>Synth-Pop</v>
      </c>
      <c r="L60" s="30"/>
      <c r="M60" s="31">
        <f>'Raw Data'!D5</f>
        <v>3.26</v>
      </c>
      <c r="N60" s="31"/>
      <c r="O60" s="17">
        <f>'Raw Data'!F5</f>
        <v>171</v>
      </c>
      <c r="P60" s="17">
        <f>'Raw Data'!G5</f>
        <v>2019</v>
      </c>
    </row>
    <row r="61" spans="1:16" ht="15" customHeight="1" x14ac:dyDescent="0.3">
      <c r="A61" s="50">
        <f>'Raw Data'!A6</f>
        <v>2</v>
      </c>
      <c r="B61" s="50"/>
      <c r="C61" s="32" t="str">
        <f>'Raw Data'!B6</f>
        <v>Shape of You</v>
      </c>
      <c r="D61" s="32"/>
      <c r="E61" s="32"/>
      <c r="F61" s="32"/>
      <c r="G61" s="32" t="str">
        <f>'Raw Data'!C6</f>
        <v>Ed Sheeran</v>
      </c>
      <c r="H61" s="32"/>
      <c r="I61" s="32"/>
      <c r="J61" s="32"/>
      <c r="K61" s="32" t="str">
        <f>'Raw Data'!E6</f>
        <v>Pop/Dancehall</v>
      </c>
      <c r="L61" s="32"/>
      <c r="M61" s="33">
        <f>'Raw Data'!D6</f>
        <v>2.4900000000000002</v>
      </c>
      <c r="N61" s="33"/>
      <c r="O61" s="19">
        <f>'Raw Data'!F6</f>
        <v>96</v>
      </c>
      <c r="P61" s="19">
        <f>'Raw Data'!G6</f>
        <v>2017</v>
      </c>
    </row>
    <row r="62" spans="1:16" ht="15" customHeight="1" x14ac:dyDescent="0.3">
      <c r="A62" s="116">
        <f>'Raw Data'!A7</f>
        <v>3</v>
      </c>
      <c r="B62" s="116"/>
      <c r="C62" s="30" t="str">
        <f>'Raw Data'!B7</f>
        <v>Someone You Loved</v>
      </c>
      <c r="D62" s="30"/>
      <c r="E62" s="30"/>
      <c r="F62" s="30"/>
      <c r="G62" s="30" t="str">
        <f>'Raw Data'!C7</f>
        <v>Lewis Capaldi</v>
      </c>
      <c r="H62" s="30"/>
      <c r="I62" s="30"/>
      <c r="J62" s="30"/>
      <c r="K62" s="30" t="str">
        <f>'Raw Data'!E7</f>
        <v>Pop</v>
      </c>
      <c r="L62" s="30"/>
      <c r="M62" s="31">
        <f>'Raw Data'!D7</f>
        <v>2.4500000000000002</v>
      </c>
      <c r="N62" s="31"/>
      <c r="O62" s="17">
        <f>'Raw Data'!F7</f>
        <v>77</v>
      </c>
      <c r="P62" s="17">
        <f>'Raw Data'!G7</f>
        <v>2018</v>
      </c>
    </row>
    <row r="63" spans="1:16" ht="15" customHeight="1" x14ac:dyDescent="0.3">
      <c r="A63" s="50">
        <f>'Raw Data'!A8</f>
        <v>4</v>
      </c>
      <c r="B63" s="50"/>
      <c r="C63" s="32" t="str">
        <f>'Raw Data'!B8</f>
        <v>Sunflower</v>
      </c>
      <c r="D63" s="32"/>
      <c r="E63" s="32"/>
      <c r="F63" s="32"/>
      <c r="G63" s="32" t="str">
        <f>'Raw Data'!C8</f>
        <v>Post Malone &amp; Swae Lee</v>
      </c>
      <c r="H63" s="32"/>
      <c r="I63" s="32"/>
      <c r="J63" s="32"/>
      <c r="K63" s="32" t="str">
        <f>'Raw Data'!E8</f>
        <v>Hip-Hop/Pop</v>
      </c>
      <c r="L63" s="32"/>
      <c r="M63" s="33">
        <f>'Raw Data'!D8</f>
        <v>2.78</v>
      </c>
      <c r="N63" s="33"/>
      <c r="O63" s="19">
        <f>'Raw Data'!F8</f>
        <v>93</v>
      </c>
      <c r="P63" s="19">
        <f>'Raw Data'!G8</f>
        <v>2018</v>
      </c>
    </row>
    <row r="64" spans="1:16" ht="15" customHeight="1" x14ac:dyDescent="0.3">
      <c r="A64" s="116">
        <f>'Raw Data'!A9</f>
        <v>5</v>
      </c>
      <c r="B64" s="116"/>
      <c r="C64" s="30" t="str">
        <f>'Raw Data'!B9</f>
        <v>One Dance</v>
      </c>
      <c r="D64" s="30"/>
      <c r="E64" s="30"/>
      <c r="F64" s="30"/>
      <c r="G64" s="30" t="str">
        <f>'Raw Data'!C9</f>
        <v>Drake</v>
      </c>
      <c r="H64" s="30"/>
      <c r="I64" s="30"/>
      <c r="J64" s="30"/>
      <c r="K64" s="30" t="str">
        <f>'Raw Data'!E9</f>
        <v>Afrobeats/Pop</v>
      </c>
      <c r="L64" s="30"/>
      <c r="M64" s="31">
        <f>'Raw Data'!D9</f>
        <v>2.72</v>
      </c>
      <c r="N64" s="31"/>
      <c r="O64" s="17">
        <f>'Raw Data'!F9</f>
        <v>100</v>
      </c>
      <c r="P64" s="17">
        <f>'Raw Data'!G9</f>
        <v>2016</v>
      </c>
    </row>
    <row r="65" spans="1:16" ht="15" customHeight="1" x14ac:dyDescent="0.3">
      <c r="A65" s="50">
        <f>'Raw Data'!A10</f>
        <v>6</v>
      </c>
      <c r="B65" s="50"/>
      <c r="C65" s="32" t="str">
        <f>'Raw Data'!B10</f>
        <v>Stay</v>
      </c>
      <c r="D65" s="32"/>
      <c r="E65" s="32"/>
      <c r="F65" s="32"/>
      <c r="G65" s="32" t="str">
        <f>'Raw Data'!C10</f>
        <v>The Kid LAROI &amp; Justin Bieber</v>
      </c>
      <c r="H65" s="32"/>
      <c r="I65" s="32"/>
      <c r="J65" s="32"/>
      <c r="K65" s="32" t="str">
        <f>'Raw Data'!E10</f>
        <v>Pop</v>
      </c>
      <c r="L65" s="32"/>
      <c r="M65" s="33">
        <f>'Raw Data'!D10</f>
        <v>2.67</v>
      </c>
      <c r="N65" s="33"/>
      <c r="O65" s="19">
        <f>'Raw Data'!F10</f>
        <v>170</v>
      </c>
      <c r="P65" s="19">
        <f>'Raw Data'!G10</f>
        <v>2021</v>
      </c>
    </row>
    <row r="66" spans="1:16" ht="15" customHeight="1" x14ac:dyDescent="0.3">
      <c r="A66" s="116">
        <f>'Raw Data'!A11</f>
        <v>7</v>
      </c>
      <c r="B66" s="116"/>
      <c r="C66" s="30" t="str">
        <f>'Raw Data'!B11</f>
        <v>Believer</v>
      </c>
      <c r="D66" s="30"/>
      <c r="E66" s="30"/>
      <c r="F66" s="30"/>
      <c r="G66" s="30" t="str">
        <f>'Raw Data'!C11</f>
        <v>Imagine Dragons</v>
      </c>
      <c r="H66" s="30"/>
      <c r="I66" s="30"/>
      <c r="J66" s="30"/>
      <c r="K66" s="30" t="str">
        <f>'Raw Data'!E11</f>
        <v>Alt Rock</v>
      </c>
      <c r="L66" s="30"/>
      <c r="M66" s="31">
        <f>'Raw Data'!D11</f>
        <v>2.56</v>
      </c>
      <c r="N66" s="31"/>
      <c r="O66" s="17">
        <f>'Raw Data'!F11</f>
        <v>125</v>
      </c>
      <c r="P66" s="17">
        <f>'Raw Data'!G11</f>
        <v>2017</v>
      </c>
    </row>
    <row r="67" spans="1:16" ht="15" customHeight="1" x14ac:dyDescent="0.3">
      <c r="A67" s="50">
        <f>'Raw Data'!A12</f>
        <v>8</v>
      </c>
      <c r="B67" s="50"/>
      <c r="C67" s="32" t="str">
        <f>'Raw Data'!B12</f>
        <v>Rockstar</v>
      </c>
      <c r="D67" s="32"/>
      <c r="E67" s="32"/>
      <c r="F67" s="32"/>
      <c r="G67" s="32" t="str">
        <f>'Raw Data'!C12</f>
        <v>Post Malone ft. 21 Savage</v>
      </c>
      <c r="H67" s="32"/>
      <c r="I67" s="32"/>
      <c r="J67" s="32"/>
      <c r="K67" s="32" t="str">
        <f>'Raw Data'!E12</f>
        <v>Hip-Hop</v>
      </c>
      <c r="L67" s="32"/>
      <c r="M67" s="33">
        <f>'Raw Data'!D12</f>
        <v>2.52</v>
      </c>
      <c r="N67" s="33"/>
      <c r="O67" s="19">
        <f>'Raw Data'!F12</f>
        <v>159</v>
      </c>
      <c r="P67" s="19">
        <f>'Raw Data'!G12</f>
        <v>2017</v>
      </c>
    </row>
    <row r="68" spans="1:16" ht="15" customHeight="1" x14ac:dyDescent="0.3">
      <c r="A68" s="116">
        <f>'Raw Data'!A13</f>
        <v>9</v>
      </c>
      <c r="B68" s="116"/>
      <c r="C68" s="30" t="str">
        <f>'Raw Data'!B13</f>
        <v>Dance Monkey</v>
      </c>
      <c r="D68" s="30"/>
      <c r="E68" s="30"/>
      <c r="F68" s="30"/>
      <c r="G68" s="30" t="str">
        <f>'Raw Data'!C13</f>
        <v>Tones and I</v>
      </c>
      <c r="H68" s="30"/>
      <c r="I68" s="30"/>
      <c r="J68" s="30"/>
      <c r="K68" s="30" t="str">
        <f>'Raw Data'!E13</f>
        <v>Pop</v>
      </c>
      <c r="L68" s="30"/>
      <c r="M68" s="31">
        <f>'Raw Data'!D13</f>
        <v>2.4900000000000002</v>
      </c>
      <c r="N68" s="31"/>
      <c r="O68" s="17">
        <f>'Raw Data'!F13</f>
        <v>98</v>
      </c>
      <c r="P68" s="17">
        <f>'Raw Data'!G13</f>
        <v>2019</v>
      </c>
    </row>
    <row r="69" spans="1:16" ht="15" customHeight="1" x14ac:dyDescent="0.3">
      <c r="A69" s="86">
        <f>'Raw Data'!A14</f>
        <v>10</v>
      </c>
      <c r="B69" s="86"/>
      <c r="C69" s="117" t="str">
        <f>'Raw Data'!B14</f>
        <v>Happier</v>
      </c>
      <c r="D69" s="117"/>
      <c r="E69" s="117"/>
      <c r="F69" s="117"/>
      <c r="G69" s="117" t="str">
        <f>'Raw Data'!C14</f>
        <v>Marshmello &amp; Bastille</v>
      </c>
      <c r="H69" s="117"/>
      <c r="I69" s="117"/>
      <c r="J69" s="117"/>
      <c r="K69" s="117" t="str">
        <f>'Raw Data'!E14</f>
        <v>EDM/Pop</v>
      </c>
      <c r="L69" s="117"/>
      <c r="M69" s="118">
        <f>'Raw Data'!D14</f>
        <v>2.4500000000000002</v>
      </c>
      <c r="N69" s="118"/>
      <c r="O69" s="85">
        <f>'Raw Data'!F14</f>
        <v>100</v>
      </c>
      <c r="P69" s="85">
        <f>'Raw Data'!G14</f>
        <v>2018</v>
      </c>
    </row>
    <row r="72" spans="1:16" ht="15" customHeight="1" x14ac:dyDescent="0.3">
      <c r="A72" s="84" t="s">
        <v>60</v>
      </c>
      <c r="B72" s="84"/>
      <c r="C72" s="84"/>
      <c r="D72" s="84"/>
      <c r="E72" s="84"/>
      <c r="F72" s="84"/>
      <c r="G72" s="84"/>
      <c r="H72" s="84"/>
      <c r="I72" s="84"/>
      <c r="J72" s="84"/>
      <c r="K72" s="84"/>
      <c r="L72" s="84"/>
      <c r="M72" s="84"/>
      <c r="N72" s="84"/>
      <c r="O72" s="84"/>
      <c r="P72" s="84"/>
    </row>
    <row r="73" spans="1:16" ht="15" customHeight="1" x14ac:dyDescent="0.3">
      <c r="A73" s="119" t="s">
        <v>61</v>
      </c>
      <c r="B73" s="119"/>
      <c r="C73" s="119"/>
      <c r="D73" s="119"/>
      <c r="E73" s="119"/>
      <c r="F73" s="119"/>
      <c r="G73" s="119"/>
      <c r="H73" s="119"/>
      <c r="I73" s="119"/>
      <c r="J73" s="119"/>
      <c r="K73" s="119"/>
      <c r="L73" s="119"/>
      <c r="M73" s="119"/>
      <c r="N73" s="119"/>
      <c r="O73" s="119"/>
      <c r="P73" s="119"/>
    </row>
    <row r="74" spans="1:16" ht="15" customHeight="1" x14ac:dyDescent="0.3">
      <c r="A74" s="119"/>
      <c r="B74" s="119"/>
      <c r="C74" s="119"/>
      <c r="D74" s="119"/>
      <c r="E74" s="119"/>
      <c r="F74" s="119"/>
      <c r="G74" s="119"/>
      <c r="H74" s="119"/>
      <c r="I74" s="119"/>
      <c r="J74" s="119"/>
      <c r="K74" s="119"/>
      <c r="L74" s="119"/>
      <c r="M74" s="119"/>
      <c r="N74" s="119"/>
      <c r="O74" s="119"/>
      <c r="P74" s="119"/>
    </row>
  </sheetData>
  <mergeCells count="82">
    <mergeCell ref="A72:P72"/>
    <mergeCell ref="A73:P74"/>
    <mergeCell ref="A69:B69"/>
    <mergeCell ref="C69:F69"/>
    <mergeCell ref="G69:J69"/>
    <mergeCell ref="K69:L69"/>
    <mergeCell ref="M69:N69"/>
    <mergeCell ref="A68:B68"/>
    <mergeCell ref="C68:F68"/>
    <mergeCell ref="G68:J68"/>
    <mergeCell ref="K68:L68"/>
    <mergeCell ref="M68:N68"/>
    <mergeCell ref="A67:B67"/>
    <mergeCell ref="C67:F67"/>
    <mergeCell ref="G67:J67"/>
    <mergeCell ref="K67:L67"/>
    <mergeCell ref="M67:N67"/>
    <mergeCell ref="A66:B66"/>
    <mergeCell ref="C66:F66"/>
    <mergeCell ref="G66:J66"/>
    <mergeCell ref="K66:L66"/>
    <mergeCell ref="M66:N66"/>
    <mergeCell ref="A65:B65"/>
    <mergeCell ref="C65:F65"/>
    <mergeCell ref="G65:J65"/>
    <mergeCell ref="K65:L65"/>
    <mergeCell ref="M65:N65"/>
    <mergeCell ref="A64:B64"/>
    <mergeCell ref="C64:F64"/>
    <mergeCell ref="G64:J64"/>
    <mergeCell ref="K64:L64"/>
    <mergeCell ref="M64:N64"/>
    <mergeCell ref="A63:B63"/>
    <mergeCell ref="C63:F63"/>
    <mergeCell ref="G63:J63"/>
    <mergeCell ref="K63:L63"/>
    <mergeCell ref="M63:N63"/>
    <mergeCell ref="A62:B62"/>
    <mergeCell ref="C62:F62"/>
    <mergeCell ref="G62:J62"/>
    <mergeCell ref="K62:L62"/>
    <mergeCell ref="M62:N62"/>
    <mergeCell ref="A61:B61"/>
    <mergeCell ref="C61:F61"/>
    <mergeCell ref="G61:J61"/>
    <mergeCell ref="K61:L61"/>
    <mergeCell ref="M61:N61"/>
    <mergeCell ref="A60:B60"/>
    <mergeCell ref="C60:F60"/>
    <mergeCell ref="G60:J60"/>
    <mergeCell ref="K60:L60"/>
    <mergeCell ref="M60:N60"/>
    <mergeCell ref="A59:B59"/>
    <mergeCell ref="C59:F59"/>
    <mergeCell ref="G59:J59"/>
    <mergeCell ref="K59:L59"/>
    <mergeCell ref="M59:N59"/>
    <mergeCell ref="A19:H19"/>
    <mergeCell ref="I19:P19"/>
    <mergeCell ref="A40:H40"/>
    <mergeCell ref="I40:P40"/>
    <mergeCell ref="A58:P58"/>
    <mergeCell ref="A17:C17"/>
    <mergeCell ref="D17:F17"/>
    <mergeCell ref="G17:I17"/>
    <mergeCell ref="J17:L17"/>
    <mergeCell ref="M17:P17"/>
    <mergeCell ref="A14:E14"/>
    <mergeCell ref="F14:J14"/>
    <mergeCell ref="K14:P14"/>
    <mergeCell ref="A16:C16"/>
    <mergeCell ref="D16:F16"/>
    <mergeCell ref="G16:I16"/>
    <mergeCell ref="J16:L16"/>
    <mergeCell ref="M16:P16"/>
    <mergeCell ref="A1:P1"/>
    <mergeCell ref="A2:P2"/>
    <mergeCell ref="D3:P3"/>
    <mergeCell ref="A5:P5"/>
    <mergeCell ref="A6:E6"/>
    <mergeCell ref="F6:J6"/>
    <mergeCell ref="K6:P6"/>
  </mergeCells>
  <dataValidations count="1">
    <dataValidation type="list" showInputMessage="1" showErrorMessage="1" errorTitle="Genre tidak valid" error="Pilih dari daftar genre yang tersedia" promptTitle="Filter Genre" prompt="Pilih genre" sqref="B3" xr:uid="{00000000-0002-0000-0100-000000000000}">
      <formula1>"Semua Genre,Pop,Indie Pop,Alt Rock,Synth-Pop,Hip-Hop,Pop Rock,EDM/Pop,Afrobeats/Pop"</formula1>
      <formula2>0</formula2>
    </dataValidation>
  </dataValidations>
  <printOptions horizontalCentered="1"/>
  <pageMargins left="0.15" right="0.15" top="0.4" bottom="0.4" header="0.511811023622047" footer="0.15"/>
  <pageSetup scale="90" fitToHeight="0" orientation="landscape" r:id="rId1"/>
  <headerFooter>
    <oddFooter>&amp;L&amp;8 &amp;K666666Rifal Azhar Permana — Spotify Music Trend Analytics&amp;R&amp;8 &amp;K666666Page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04"/>
  <sheetViews>
    <sheetView showGridLines="0" tabSelected="1" zoomScaleNormal="100" workbookViewId="0">
      <pane ySplit="4" topLeftCell="A5" activePane="bottomLeft" state="frozen"/>
      <selection activeCell="I7" sqref="I7:L7"/>
      <selection pane="bottomLeft" activeCell="I7" sqref="I7:L7"/>
    </sheetView>
  </sheetViews>
  <sheetFormatPr defaultColWidth="8.6640625" defaultRowHeight="14.4" x14ac:dyDescent="0.3"/>
  <cols>
    <col min="1" max="1" width="6" style="14" customWidth="1"/>
    <col min="2" max="2" width="26" customWidth="1"/>
    <col min="3" max="3" width="28.21875" bestFit="1" customWidth="1"/>
    <col min="4" max="5" width="14" customWidth="1"/>
    <col min="6" max="6" width="7" customWidth="1"/>
    <col min="7" max="7" width="10" style="14" customWidth="1"/>
    <col min="8" max="8" width="13" customWidth="1"/>
    <col min="9" max="9" width="9" style="14" customWidth="1"/>
    <col min="10" max="10" width="12" customWidth="1"/>
    <col min="11" max="12" width="10" customWidth="1"/>
    <col min="13" max="13" width="12.6640625" bestFit="1" customWidth="1"/>
  </cols>
  <sheetData>
    <row r="1" spans="1:13" ht="27.75" customHeight="1" x14ac:dyDescent="0.3">
      <c r="A1" s="67" t="s">
        <v>62</v>
      </c>
      <c r="B1" s="67"/>
      <c r="C1" s="67"/>
      <c r="D1" s="67"/>
      <c r="E1" s="67"/>
      <c r="F1" s="67"/>
      <c r="G1" s="67"/>
      <c r="H1" s="67"/>
      <c r="I1" s="67"/>
      <c r="J1" s="67"/>
      <c r="K1" s="67"/>
      <c r="L1" s="67"/>
      <c r="M1" s="67"/>
    </row>
    <row r="2" spans="1:13" ht="15" customHeight="1" x14ac:dyDescent="0.3">
      <c r="A2" s="45" t="s">
        <v>63</v>
      </c>
      <c r="B2" s="45"/>
      <c r="C2" s="45"/>
      <c r="D2" s="45"/>
      <c r="E2" s="45"/>
      <c r="F2" s="45"/>
      <c r="G2" s="45"/>
      <c r="H2" s="45"/>
      <c r="I2" s="45"/>
      <c r="J2" s="45"/>
      <c r="K2" s="45"/>
      <c r="L2" s="45"/>
      <c r="M2" s="45"/>
    </row>
    <row r="3" spans="1:13" x14ac:dyDescent="0.3">
      <c r="A3" s="36"/>
      <c r="B3" s="36"/>
      <c r="C3" s="36"/>
      <c r="D3" s="36"/>
      <c r="E3" s="36"/>
      <c r="F3" s="36"/>
      <c r="G3" s="36"/>
      <c r="H3" s="36"/>
      <c r="I3" s="36"/>
      <c r="J3" s="36"/>
      <c r="K3" s="36"/>
      <c r="L3" s="36"/>
      <c r="M3" s="36"/>
    </row>
    <row r="4" spans="1:13" ht="26.4" x14ac:dyDescent="0.3">
      <c r="A4" s="102" t="s">
        <v>54</v>
      </c>
      <c r="B4" s="102" t="s">
        <v>55</v>
      </c>
      <c r="C4" s="102" t="s">
        <v>56</v>
      </c>
      <c r="D4" s="102" t="s">
        <v>64</v>
      </c>
      <c r="E4" s="102" t="s">
        <v>38</v>
      </c>
      <c r="F4" s="102" t="s">
        <v>58</v>
      </c>
      <c r="G4" s="102" t="s">
        <v>65</v>
      </c>
      <c r="H4" s="102" t="s">
        <v>66</v>
      </c>
      <c r="I4" s="102" t="s">
        <v>67</v>
      </c>
      <c r="J4" s="102" t="s">
        <v>68</v>
      </c>
      <c r="K4" s="102" t="s">
        <v>69</v>
      </c>
      <c r="L4" s="102" t="s">
        <v>70</v>
      </c>
      <c r="M4" s="102" t="s">
        <v>71</v>
      </c>
    </row>
    <row r="5" spans="1:13" ht="15" customHeight="1" x14ac:dyDescent="0.3">
      <c r="A5" s="38">
        <v>1</v>
      </c>
      <c r="B5" s="19" t="s">
        <v>72</v>
      </c>
      <c r="C5" s="19" t="s">
        <v>73</v>
      </c>
      <c r="D5" s="20">
        <v>3.26</v>
      </c>
      <c r="E5" s="19" t="s">
        <v>74</v>
      </c>
      <c r="F5" s="19">
        <v>171</v>
      </c>
      <c r="G5" s="38">
        <v>2019</v>
      </c>
      <c r="H5" s="19" t="s">
        <v>75</v>
      </c>
      <c r="I5" s="38" t="s">
        <v>76</v>
      </c>
      <c r="J5" s="20">
        <v>0.51</v>
      </c>
      <c r="K5" s="20">
        <v>0.08</v>
      </c>
      <c r="L5" s="20">
        <v>0.33</v>
      </c>
      <c r="M5" s="20">
        <v>0</v>
      </c>
    </row>
    <row r="6" spans="1:13" ht="15" customHeight="1" x14ac:dyDescent="0.3">
      <c r="A6" s="37">
        <v>2</v>
      </c>
      <c r="B6" s="17" t="s">
        <v>77</v>
      </c>
      <c r="C6" s="17" t="s">
        <v>78</v>
      </c>
      <c r="D6" s="18">
        <v>2.4900000000000002</v>
      </c>
      <c r="E6" s="17" t="s">
        <v>79</v>
      </c>
      <c r="F6" s="17">
        <v>96</v>
      </c>
      <c r="G6" s="37">
        <v>2017</v>
      </c>
      <c r="H6" s="17" t="s">
        <v>80</v>
      </c>
      <c r="I6" s="37" t="s">
        <v>76</v>
      </c>
      <c r="J6" s="18">
        <v>0.83</v>
      </c>
      <c r="K6" s="18">
        <v>0.65</v>
      </c>
      <c r="L6" s="18">
        <v>0.93</v>
      </c>
      <c r="M6" s="18">
        <v>0.08</v>
      </c>
    </row>
    <row r="7" spans="1:13" ht="15" customHeight="1" x14ac:dyDescent="0.3">
      <c r="A7" s="38">
        <v>3</v>
      </c>
      <c r="B7" s="19" t="s">
        <v>81</v>
      </c>
      <c r="C7" s="19" t="s">
        <v>82</v>
      </c>
      <c r="D7" s="20">
        <v>2.4500000000000002</v>
      </c>
      <c r="E7" s="19" t="s">
        <v>83</v>
      </c>
      <c r="F7" s="19">
        <v>77</v>
      </c>
      <c r="G7" s="38">
        <v>2018</v>
      </c>
      <c r="H7" s="19" t="s">
        <v>80</v>
      </c>
      <c r="I7" s="38" t="str">
        <f>TEXT(Dashboard!G17,"0.0")&amp;" Miliar"</f>
        <v>164 Miliar</v>
      </c>
      <c r="J7" s="20">
        <v>0.06</v>
      </c>
      <c r="K7" s="20">
        <v>0.45</v>
      </c>
      <c r="L7" s="20">
        <v>0.42</v>
      </c>
      <c r="M7" s="20">
        <v>0.28999999999999998</v>
      </c>
    </row>
    <row r="8" spans="1:13" ht="15" customHeight="1" x14ac:dyDescent="0.3">
      <c r="A8" s="37">
        <v>4</v>
      </c>
      <c r="B8" s="17" t="s">
        <v>84</v>
      </c>
      <c r="C8" s="17" t="s">
        <v>85</v>
      </c>
      <c r="D8" s="18">
        <v>2.78</v>
      </c>
      <c r="E8" s="17" t="s">
        <v>86</v>
      </c>
      <c r="F8" s="17">
        <v>93</v>
      </c>
      <c r="G8" s="37">
        <v>2018</v>
      </c>
      <c r="H8" s="17" t="s">
        <v>87</v>
      </c>
      <c r="I8" s="37" t="s">
        <v>76</v>
      </c>
      <c r="J8" s="18">
        <v>0.76</v>
      </c>
      <c r="K8" s="18">
        <v>0.49</v>
      </c>
      <c r="L8" s="18">
        <v>0.84</v>
      </c>
      <c r="M8" s="18">
        <v>0.15</v>
      </c>
    </row>
    <row r="9" spans="1:13" ht="15" customHeight="1" x14ac:dyDescent="0.3">
      <c r="A9" s="38">
        <v>5</v>
      </c>
      <c r="B9" s="19" t="s">
        <v>88</v>
      </c>
      <c r="C9" s="19" t="s">
        <v>89</v>
      </c>
      <c r="D9" s="20">
        <v>2.72</v>
      </c>
      <c r="E9" s="19" t="s">
        <v>90</v>
      </c>
      <c r="F9" s="19">
        <v>100</v>
      </c>
      <c r="G9" s="38">
        <v>2016</v>
      </c>
      <c r="H9" s="19" t="s">
        <v>75</v>
      </c>
      <c r="I9" s="38" t="s">
        <v>76</v>
      </c>
      <c r="J9" s="20">
        <v>0.79</v>
      </c>
      <c r="K9" s="20">
        <v>0.62</v>
      </c>
      <c r="L9" s="20">
        <v>0.68</v>
      </c>
      <c r="M9" s="20">
        <v>0.09</v>
      </c>
    </row>
    <row r="10" spans="1:13" ht="15" customHeight="1" x14ac:dyDescent="0.3">
      <c r="A10" s="37">
        <v>6</v>
      </c>
      <c r="B10" s="17" t="s">
        <v>91</v>
      </c>
      <c r="C10" s="17" t="s">
        <v>92</v>
      </c>
      <c r="D10" s="18">
        <v>2.67</v>
      </c>
      <c r="E10" s="17" t="s">
        <v>83</v>
      </c>
      <c r="F10" s="17">
        <v>170</v>
      </c>
      <c r="G10" s="37">
        <v>2021</v>
      </c>
      <c r="H10" s="17" t="s">
        <v>93</v>
      </c>
      <c r="I10" s="37" t="s">
        <v>94</v>
      </c>
      <c r="J10" s="18">
        <v>0.59</v>
      </c>
      <c r="K10" s="18">
        <v>0.08</v>
      </c>
      <c r="L10" s="18">
        <v>0.06</v>
      </c>
      <c r="M10" s="18">
        <v>0</v>
      </c>
    </row>
    <row r="11" spans="1:13" ht="15" customHeight="1" x14ac:dyDescent="0.3">
      <c r="A11" s="38">
        <v>7</v>
      </c>
      <c r="B11" s="19" t="s">
        <v>95</v>
      </c>
      <c r="C11" s="19" t="s">
        <v>96</v>
      </c>
      <c r="D11" s="20">
        <v>2.56</v>
      </c>
      <c r="E11" s="19" t="s">
        <v>97</v>
      </c>
      <c r="F11" s="19">
        <v>125</v>
      </c>
      <c r="G11" s="38">
        <v>2017</v>
      </c>
      <c r="H11" s="19" t="s">
        <v>87</v>
      </c>
      <c r="I11" s="38" t="s">
        <v>76</v>
      </c>
      <c r="J11" s="20">
        <v>0.33</v>
      </c>
      <c r="K11" s="20">
        <v>0.86</v>
      </c>
      <c r="L11" s="20">
        <v>0.45</v>
      </c>
      <c r="M11" s="20">
        <v>7.0000000000000007E-2</v>
      </c>
    </row>
    <row r="12" spans="1:13" ht="15" customHeight="1" x14ac:dyDescent="0.3">
      <c r="A12" s="37">
        <v>8</v>
      </c>
      <c r="B12" s="17" t="s">
        <v>98</v>
      </c>
      <c r="C12" s="17" t="s">
        <v>99</v>
      </c>
      <c r="D12" s="18">
        <v>2.52</v>
      </c>
      <c r="E12" s="17" t="s">
        <v>100</v>
      </c>
      <c r="F12" s="17">
        <v>159</v>
      </c>
      <c r="G12" s="37">
        <v>2017</v>
      </c>
      <c r="H12" s="17" t="s">
        <v>87</v>
      </c>
      <c r="I12" s="37" t="s">
        <v>94</v>
      </c>
      <c r="J12" s="18">
        <v>0.55000000000000004</v>
      </c>
      <c r="K12" s="18">
        <v>0.52</v>
      </c>
      <c r="L12" s="18">
        <v>0.13</v>
      </c>
      <c r="M12" s="18">
        <v>0.08</v>
      </c>
    </row>
    <row r="13" spans="1:13" ht="15" customHeight="1" x14ac:dyDescent="0.3">
      <c r="A13" s="38">
        <v>9</v>
      </c>
      <c r="B13" s="19" t="s">
        <v>101</v>
      </c>
      <c r="C13" s="19" t="s">
        <v>102</v>
      </c>
      <c r="D13" s="20">
        <v>2.4900000000000002</v>
      </c>
      <c r="E13" s="19" t="s">
        <v>83</v>
      </c>
      <c r="F13" s="19">
        <v>98</v>
      </c>
      <c r="G13" s="38">
        <v>2019</v>
      </c>
      <c r="H13" s="19" t="s">
        <v>93</v>
      </c>
      <c r="I13" s="38" t="s">
        <v>76</v>
      </c>
      <c r="J13" s="20">
        <v>0.83</v>
      </c>
      <c r="K13" s="20">
        <v>0.63</v>
      </c>
      <c r="L13" s="20">
        <v>0.73</v>
      </c>
      <c r="M13" s="20">
        <v>0.14000000000000001</v>
      </c>
    </row>
    <row r="14" spans="1:13" ht="15" customHeight="1" x14ac:dyDescent="0.3">
      <c r="A14" s="37">
        <v>10</v>
      </c>
      <c r="B14" s="17" t="s">
        <v>103</v>
      </c>
      <c r="C14" s="17" t="s">
        <v>104</v>
      </c>
      <c r="D14" s="18">
        <v>2.4500000000000002</v>
      </c>
      <c r="E14" s="17" t="s">
        <v>105</v>
      </c>
      <c r="F14" s="17">
        <v>100</v>
      </c>
      <c r="G14" s="37">
        <v>2018</v>
      </c>
      <c r="H14" s="17" t="s">
        <v>106</v>
      </c>
      <c r="I14" s="37" t="s">
        <v>76</v>
      </c>
      <c r="J14" s="18">
        <v>0.62</v>
      </c>
      <c r="K14" s="18">
        <v>0.82</v>
      </c>
      <c r="L14" s="18">
        <v>0.96</v>
      </c>
      <c r="M14" s="18">
        <v>0.02</v>
      </c>
    </row>
    <row r="15" spans="1:13" ht="15" customHeight="1" x14ac:dyDescent="0.3">
      <c r="A15" s="38">
        <v>11</v>
      </c>
      <c r="B15" s="19" t="s">
        <v>107</v>
      </c>
      <c r="C15" s="19" t="s">
        <v>108</v>
      </c>
      <c r="D15" s="20">
        <v>2.42</v>
      </c>
      <c r="E15" s="19" t="s">
        <v>109</v>
      </c>
      <c r="F15" s="19">
        <v>117</v>
      </c>
      <c r="G15" s="38">
        <v>2019</v>
      </c>
      <c r="H15" s="19" t="s">
        <v>110</v>
      </c>
      <c r="I15" s="38" t="s">
        <v>76</v>
      </c>
      <c r="J15" s="20">
        <v>0.75</v>
      </c>
      <c r="K15" s="20">
        <v>0.74</v>
      </c>
      <c r="L15" s="20">
        <v>0.75</v>
      </c>
      <c r="M15" s="20">
        <v>0.14000000000000001</v>
      </c>
    </row>
    <row r="16" spans="1:13" ht="15" customHeight="1" x14ac:dyDescent="0.3">
      <c r="A16" s="37">
        <v>12</v>
      </c>
      <c r="B16" s="17" t="s">
        <v>111</v>
      </c>
      <c r="C16" s="17" t="s">
        <v>112</v>
      </c>
      <c r="D16" s="18">
        <v>2.38</v>
      </c>
      <c r="E16" s="17" t="s">
        <v>113</v>
      </c>
      <c r="F16" s="17">
        <v>95</v>
      </c>
      <c r="G16" s="37">
        <v>2019</v>
      </c>
      <c r="H16" s="17" t="s">
        <v>80</v>
      </c>
      <c r="I16" s="37" t="s">
        <v>76</v>
      </c>
      <c r="J16" s="18">
        <v>0.55000000000000004</v>
      </c>
      <c r="K16" s="18">
        <v>0.82</v>
      </c>
      <c r="L16" s="18">
        <v>0.74</v>
      </c>
      <c r="M16" s="18">
        <v>0.12</v>
      </c>
    </row>
    <row r="17" spans="1:13" ht="15" customHeight="1" x14ac:dyDescent="0.3">
      <c r="A17" s="38">
        <v>13</v>
      </c>
      <c r="B17" s="19" t="s">
        <v>114</v>
      </c>
      <c r="C17" s="19" t="s">
        <v>78</v>
      </c>
      <c r="D17" s="20">
        <v>2.35</v>
      </c>
      <c r="E17" s="19" t="s">
        <v>115</v>
      </c>
      <c r="F17" s="19">
        <v>95</v>
      </c>
      <c r="G17" s="38">
        <v>2017</v>
      </c>
      <c r="H17" s="19" t="s">
        <v>80</v>
      </c>
      <c r="I17" s="38" t="s">
        <v>76</v>
      </c>
      <c r="J17" s="20">
        <v>0.66</v>
      </c>
      <c r="K17" s="20">
        <v>0.43</v>
      </c>
      <c r="L17" s="20">
        <v>0.41</v>
      </c>
      <c r="M17" s="20">
        <v>0.37</v>
      </c>
    </row>
    <row r="18" spans="1:13" ht="15" customHeight="1" x14ac:dyDescent="0.3">
      <c r="A18" s="37">
        <v>14</v>
      </c>
      <c r="B18" s="17" t="s">
        <v>116</v>
      </c>
      <c r="C18" s="17" t="s">
        <v>117</v>
      </c>
      <c r="D18" s="18">
        <v>2.3199999999999998</v>
      </c>
      <c r="E18" s="17" t="s">
        <v>118</v>
      </c>
      <c r="F18" s="17">
        <v>103</v>
      </c>
      <c r="G18" s="37">
        <v>2020</v>
      </c>
      <c r="H18" s="17" t="s">
        <v>80</v>
      </c>
      <c r="I18" s="37" t="s">
        <v>76</v>
      </c>
      <c r="J18" s="18">
        <v>7.0000000000000007E-2</v>
      </c>
      <c r="K18" s="18">
        <v>0.82</v>
      </c>
      <c r="L18" s="18">
        <v>0.91</v>
      </c>
      <c r="M18" s="18">
        <v>0</v>
      </c>
    </row>
    <row r="19" spans="1:13" ht="15" customHeight="1" x14ac:dyDescent="0.3">
      <c r="A19" s="38">
        <v>15</v>
      </c>
      <c r="B19" s="19" t="s">
        <v>119</v>
      </c>
      <c r="C19" s="19" t="s">
        <v>120</v>
      </c>
      <c r="D19" s="20">
        <v>1.84</v>
      </c>
      <c r="E19" s="19" t="s">
        <v>113</v>
      </c>
      <c r="F19" s="19">
        <v>80</v>
      </c>
      <c r="G19" s="38">
        <v>2020</v>
      </c>
      <c r="H19" s="19" t="s">
        <v>80</v>
      </c>
      <c r="I19" s="38" t="s">
        <v>76</v>
      </c>
      <c r="J19" s="20">
        <v>0.51</v>
      </c>
      <c r="K19" s="20">
        <v>0.54</v>
      </c>
      <c r="L19" s="20">
        <v>0.57999999999999996</v>
      </c>
      <c r="M19" s="20">
        <v>0.22</v>
      </c>
    </row>
    <row r="20" spans="1:13" ht="15" customHeight="1" x14ac:dyDescent="0.3">
      <c r="A20" s="37">
        <v>16</v>
      </c>
      <c r="B20" s="17" t="s">
        <v>121</v>
      </c>
      <c r="C20" s="17" t="s">
        <v>122</v>
      </c>
      <c r="D20" s="18">
        <v>2.17</v>
      </c>
      <c r="E20" s="17" t="s">
        <v>123</v>
      </c>
      <c r="F20" s="17">
        <v>135</v>
      </c>
      <c r="G20" s="37">
        <v>2019</v>
      </c>
      <c r="H20" s="17" t="s">
        <v>87</v>
      </c>
      <c r="I20" s="37" t="s">
        <v>76</v>
      </c>
      <c r="J20" s="18">
        <v>7.0000000000000007E-2</v>
      </c>
      <c r="K20" s="18">
        <v>0.43</v>
      </c>
      <c r="L20" s="18">
        <v>0.56000000000000005</v>
      </c>
      <c r="M20" s="18">
        <v>0</v>
      </c>
    </row>
    <row r="21" spans="1:13" ht="15" customHeight="1" x14ac:dyDescent="0.3">
      <c r="A21" s="38">
        <v>17</v>
      </c>
      <c r="B21" s="19" t="s">
        <v>124</v>
      </c>
      <c r="C21" s="19" t="s">
        <v>125</v>
      </c>
      <c r="D21" s="20">
        <v>2.14</v>
      </c>
      <c r="E21" s="19" t="s">
        <v>83</v>
      </c>
      <c r="F21" s="19">
        <v>73</v>
      </c>
      <c r="G21" s="38">
        <v>2021</v>
      </c>
      <c r="H21" s="19" t="s">
        <v>87</v>
      </c>
      <c r="I21" s="38" t="s">
        <v>76</v>
      </c>
      <c r="J21" s="20">
        <v>0.59</v>
      </c>
      <c r="K21" s="20">
        <v>0.43</v>
      </c>
      <c r="L21" s="20">
        <v>0.13</v>
      </c>
      <c r="M21" s="20">
        <v>0.28000000000000003</v>
      </c>
    </row>
    <row r="22" spans="1:13" ht="15" customHeight="1" x14ac:dyDescent="0.3">
      <c r="A22" s="37">
        <v>18</v>
      </c>
      <c r="B22" s="17" t="s">
        <v>126</v>
      </c>
      <c r="C22" s="17" t="s">
        <v>127</v>
      </c>
      <c r="D22" s="18">
        <v>2.11</v>
      </c>
      <c r="E22" s="17" t="s">
        <v>128</v>
      </c>
      <c r="F22" s="17">
        <v>121</v>
      </c>
      <c r="G22" s="37">
        <v>2019</v>
      </c>
      <c r="H22" s="17" t="s">
        <v>87</v>
      </c>
      <c r="I22" s="37" t="s">
        <v>76</v>
      </c>
      <c r="J22" s="18">
        <v>0.69</v>
      </c>
      <c r="K22" s="18">
        <v>0.55000000000000004</v>
      </c>
      <c r="L22" s="18">
        <v>0.72</v>
      </c>
      <c r="M22" s="18">
        <v>0.09</v>
      </c>
    </row>
    <row r="23" spans="1:13" ht="15" customHeight="1" x14ac:dyDescent="0.3">
      <c r="A23" s="38">
        <v>19</v>
      </c>
      <c r="B23" s="19" t="s">
        <v>129</v>
      </c>
      <c r="C23" s="19" t="s">
        <v>130</v>
      </c>
      <c r="D23" s="20">
        <v>2.08</v>
      </c>
      <c r="E23" s="19" t="s">
        <v>83</v>
      </c>
      <c r="F23" s="19">
        <v>91</v>
      </c>
      <c r="G23" s="38">
        <v>2019</v>
      </c>
      <c r="H23" s="19" t="s">
        <v>87</v>
      </c>
      <c r="I23" s="38" t="s">
        <v>76</v>
      </c>
      <c r="J23" s="20">
        <v>0.76</v>
      </c>
      <c r="K23" s="20">
        <v>0.36</v>
      </c>
      <c r="L23" s="20">
        <v>7.0000000000000007E-2</v>
      </c>
      <c r="M23" s="20">
        <v>0.52</v>
      </c>
    </row>
    <row r="24" spans="1:13" ht="15" customHeight="1" x14ac:dyDescent="0.3">
      <c r="A24" s="37">
        <v>20</v>
      </c>
      <c r="B24" s="17" t="s">
        <v>131</v>
      </c>
      <c r="C24" s="17" t="s">
        <v>132</v>
      </c>
      <c r="D24" s="18">
        <v>2.0499999999999998</v>
      </c>
      <c r="E24" s="17" t="s">
        <v>133</v>
      </c>
      <c r="F24" s="17">
        <v>96</v>
      </c>
      <c r="G24" s="37">
        <v>2018</v>
      </c>
      <c r="H24" s="17" t="s">
        <v>87</v>
      </c>
      <c r="I24" s="37" t="s">
        <v>76</v>
      </c>
      <c r="J24" s="18">
        <v>0.59</v>
      </c>
      <c r="K24" s="18">
        <v>0.55000000000000004</v>
      </c>
      <c r="L24" s="18">
        <v>0.37</v>
      </c>
      <c r="M24" s="18">
        <v>0.22</v>
      </c>
    </row>
    <row r="25" spans="1:13" ht="15" customHeight="1" x14ac:dyDescent="0.3">
      <c r="A25" s="38">
        <v>21</v>
      </c>
      <c r="B25" s="19" t="s">
        <v>134</v>
      </c>
      <c r="C25" s="19" t="s">
        <v>112</v>
      </c>
      <c r="D25" s="20">
        <v>2.02</v>
      </c>
      <c r="E25" s="19" t="s">
        <v>113</v>
      </c>
      <c r="F25" s="19">
        <v>174</v>
      </c>
      <c r="G25" s="38">
        <v>2022</v>
      </c>
      <c r="H25" s="19" t="s">
        <v>80</v>
      </c>
      <c r="I25" s="38" t="s">
        <v>76</v>
      </c>
      <c r="J25" s="20">
        <v>0.52</v>
      </c>
      <c r="K25" s="20">
        <v>0.73</v>
      </c>
      <c r="L25" s="20">
        <v>0.36</v>
      </c>
      <c r="M25" s="20">
        <v>0</v>
      </c>
    </row>
    <row r="26" spans="1:13" ht="15" customHeight="1" x14ac:dyDescent="0.3">
      <c r="A26" s="37">
        <v>22</v>
      </c>
      <c r="B26" s="17" t="s">
        <v>135</v>
      </c>
      <c r="C26" s="17" t="s">
        <v>136</v>
      </c>
      <c r="D26" s="18">
        <v>1.99</v>
      </c>
      <c r="E26" s="17" t="s">
        <v>137</v>
      </c>
      <c r="F26" s="17">
        <v>114</v>
      </c>
      <c r="G26" s="37">
        <v>2020</v>
      </c>
      <c r="H26" s="17" t="s">
        <v>138</v>
      </c>
      <c r="I26" s="37" t="s">
        <v>76</v>
      </c>
      <c r="J26" s="18">
        <v>0.74</v>
      </c>
      <c r="K26" s="18">
        <v>0.77</v>
      </c>
      <c r="L26" s="18">
        <v>0.74</v>
      </c>
      <c r="M26" s="18">
        <v>0.01</v>
      </c>
    </row>
    <row r="27" spans="1:13" ht="15" customHeight="1" x14ac:dyDescent="0.3">
      <c r="A27" s="38">
        <v>23</v>
      </c>
      <c r="B27" s="19" t="s">
        <v>139</v>
      </c>
      <c r="C27" s="19" t="s">
        <v>140</v>
      </c>
      <c r="D27" s="20">
        <v>1.96</v>
      </c>
      <c r="E27" s="19" t="s">
        <v>83</v>
      </c>
      <c r="F27" s="19">
        <v>118</v>
      </c>
      <c r="G27" s="38">
        <v>2023</v>
      </c>
      <c r="H27" s="19" t="s">
        <v>87</v>
      </c>
      <c r="I27" s="38" t="s">
        <v>76</v>
      </c>
      <c r="J27" s="20">
        <v>0.74</v>
      </c>
      <c r="K27" s="20">
        <v>0.74</v>
      </c>
      <c r="L27" s="20">
        <v>0.88</v>
      </c>
      <c r="M27" s="20">
        <v>0.01</v>
      </c>
    </row>
    <row r="28" spans="1:13" ht="15" customHeight="1" x14ac:dyDescent="0.3">
      <c r="A28" s="37">
        <v>24</v>
      </c>
      <c r="B28" s="17" t="s">
        <v>141</v>
      </c>
      <c r="C28" s="17" t="s">
        <v>142</v>
      </c>
      <c r="D28" s="18">
        <v>1.94</v>
      </c>
      <c r="E28" s="17" t="s">
        <v>143</v>
      </c>
      <c r="F28" s="17">
        <v>122</v>
      </c>
      <c r="G28" s="37">
        <v>2013</v>
      </c>
      <c r="H28" s="17" t="s">
        <v>87</v>
      </c>
      <c r="I28" s="37" t="s">
        <v>76</v>
      </c>
      <c r="J28" s="18">
        <v>0.62</v>
      </c>
      <c r="K28" s="18">
        <v>0.08</v>
      </c>
      <c r="L28" s="18">
        <v>0.57999999999999996</v>
      </c>
      <c r="M28" s="18">
        <v>0.12</v>
      </c>
    </row>
    <row r="29" spans="1:13" ht="15" customHeight="1" x14ac:dyDescent="0.3">
      <c r="A29" s="38">
        <v>25</v>
      </c>
      <c r="B29" s="19" t="s">
        <v>144</v>
      </c>
      <c r="C29" s="19" t="s">
        <v>145</v>
      </c>
      <c r="D29" s="20">
        <v>1.91</v>
      </c>
      <c r="E29" s="19" t="s">
        <v>146</v>
      </c>
      <c r="F29" s="19">
        <v>84</v>
      </c>
      <c r="G29" s="38">
        <v>2018</v>
      </c>
      <c r="H29" s="19" t="s">
        <v>87</v>
      </c>
      <c r="I29" s="38" t="s">
        <v>94</v>
      </c>
      <c r="J29" s="20">
        <v>0.51</v>
      </c>
      <c r="K29" s="20">
        <v>0.49</v>
      </c>
      <c r="L29" s="20">
        <v>0.22</v>
      </c>
      <c r="M29" s="20">
        <v>7.0000000000000007E-2</v>
      </c>
    </row>
    <row r="30" spans="1:13" ht="15" customHeight="1" x14ac:dyDescent="0.3">
      <c r="A30" s="37">
        <v>26</v>
      </c>
      <c r="B30" s="17" t="s">
        <v>147</v>
      </c>
      <c r="C30" s="17" t="s">
        <v>148</v>
      </c>
      <c r="D30" s="18">
        <v>1.88</v>
      </c>
      <c r="E30" s="17" t="s">
        <v>105</v>
      </c>
      <c r="F30" s="17">
        <v>95</v>
      </c>
      <c r="G30" s="37">
        <v>2016</v>
      </c>
      <c r="H30" s="17" t="s">
        <v>87</v>
      </c>
      <c r="I30" s="37" t="s">
        <v>94</v>
      </c>
      <c r="J30" s="18">
        <v>0.74</v>
      </c>
      <c r="K30" s="18">
        <v>0.65</v>
      </c>
      <c r="L30" s="18">
        <v>0.77</v>
      </c>
      <c r="M30" s="18">
        <v>0.04</v>
      </c>
    </row>
    <row r="31" spans="1:13" ht="15" customHeight="1" x14ac:dyDescent="0.3">
      <c r="A31" s="38">
        <v>27</v>
      </c>
      <c r="B31" s="19" t="s">
        <v>149</v>
      </c>
      <c r="C31" s="19" t="s">
        <v>150</v>
      </c>
      <c r="D31" s="20">
        <v>1.82</v>
      </c>
      <c r="E31" s="19" t="s">
        <v>90</v>
      </c>
      <c r="F31" s="19">
        <v>106</v>
      </c>
      <c r="G31" s="38">
        <v>2022</v>
      </c>
      <c r="H31" s="19" t="s">
        <v>151</v>
      </c>
      <c r="I31" s="38" t="s">
        <v>76</v>
      </c>
      <c r="J31" s="20">
        <v>0.08</v>
      </c>
      <c r="K31" s="20">
        <v>0.72</v>
      </c>
      <c r="L31" s="20">
        <v>0.78</v>
      </c>
      <c r="M31" s="20">
        <v>0.08</v>
      </c>
    </row>
    <row r="32" spans="1:13" ht="15" customHeight="1" x14ac:dyDescent="0.3">
      <c r="A32" s="37">
        <v>28</v>
      </c>
      <c r="B32" s="17" t="s">
        <v>152</v>
      </c>
      <c r="C32" s="17" t="s">
        <v>153</v>
      </c>
      <c r="D32" s="18">
        <v>2.19</v>
      </c>
      <c r="E32" s="17" t="s">
        <v>113</v>
      </c>
      <c r="F32" s="17">
        <v>97</v>
      </c>
      <c r="G32" s="37">
        <v>2022</v>
      </c>
      <c r="H32" s="17" t="s">
        <v>87</v>
      </c>
      <c r="I32" s="37" t="s">
        <v>76</v>
      </c>
      <c r="J32" s="18">
        <v>0.64</v>
      </c>
      <c r="K32" s="18">
        <v>0.57999999999999996</v>
      </c>
      <c r="L32" s="18">
        <v>0.47</v>
      </c>
      <c r="M32" s="18">
        <v>0.01</v>
      </c>
    </row>
    <row r="33" spans="1:13" ht="15" customHeight="1" x14ac:dyDescent="0.3">
      <c r="A33" s="38">
        <v>29</v>
      </c>
      <c r="B33" s="19" t="s">
        <v>154</v>
      </c>
      <c r="C33" s="19" t="s">
        <v>73</v>
      </c>
      <c r="D33" s="20">
        <v>2.08</v>
      </c>
      <c r="E33" s="19" t="s">
        <v>74</v>
      </c>
      <c r="F33" s="19">
        <v>118</v>
      </c>
      <c r="G33" s="38">
        <v>2020</v>
      </c>
      <c r="H33" s="19" t="s">
        <v>75</v>
      </c>
      <c r="I33" s="38" t="s">
        <v>76</v>
      </c>
      <c r="J33" s="20">
        <v>0.68</v>
      </c>
      <c r="K33" s="20">
        <v>0.82</v>
      </c>
      <c r="L33" s="20">
        <v>0.78</v>
      </c>
      <c r="M33" s="20">
        <v>0.01</v>
      </c>
    </row>
    <row r="34" spans="1:13" ht="15" customHeight="1" x14ac:dyDescent="0.3">
      <c r="A34" s="37">
        <v>30</v>
      </c>
      <c r="B34" s="17" t="s">
        <v>155</v>
      </c>
      <c r="C34" s="17" t="s">
        <v>73</v>
      </c>
      <c r="D34" s="18">
        <v>2.06</v>
      </c>
      <c r="E34" s="17" t="s">
        <v>156</v>
      </c>
      <c r="F34" s="17">
        <v>95</v>
      </c>
      <c r="G34" s="37">
        <v>2016</v>
      </c>
      <c r="H34" s="17" t="s">
        <v>75</v>
      </c>
      <c r="I34" s="37" t="s">
        <v>76</v>
      </c>
      <c r="J34" s="18">
        <v>0.04</v>
      </c>
      <c r="K34" s="18">
        <v>0.55000000000000004</v>
      </c>
      <c r="L34" s="18">
        <v>0.32</v>
      </c>
      <c r="M34" s="18">
        <v>0.04</v>
      </c>
    </row>
    <row r="35" spans="1:13" ht="15" customHeight="1" x14ac:dyDescent="0.3">
      <c r="A35" s="38">
        <v>31</v>
      </c>
      <c r="B35" s="19" t="s">
        <v>157</v>
      </c>
      <c r="C35" s="19" t="s">
        <v>158</v>
      </c>
      <c r="D35" s="20">
        <v>2.04</v>
      </c>
      <c r="E35" s="19" t="s">
        <v>113</v>
      </c>
      <c r="F35" s="19">
        <v>95</v>
      </c>
      <c r="G35" s="38">
        <v>2018</v>
      </c>
      <c r="H35" s="19" t="s">
        <v>87</v>
      </c>
      <c r="I35" s="38" t="s">
        <v>76</v>
      </c>
      <c r="J35" s="20">
        <v>0.35</v>
      </c>
      <c r="K35" s="20">
        <v>0.03</v>
      </c>
      <c r="L35" s="20">
        <v>0.08</v>
      </c>
      <c r="M35" s="20">
        <v>0.05</v>
      </c>
    </row>
    <row r="36" spans="1:13" ht="15" customHeight="1" x14ac:dyDescent="0.3">
      <c r="A36" s="37">
        <v>32</v>
      </c>
      <c r="B36" s="17" t="s">
        <v>159</v>
      </c>
      <c r="C36" s="17" t="s">
        <v>160</v>
      </c>
      <c r="D36" s="18">
        <v>1.73</v>
      </c>
      <c r="E36" s="17" t="s">
        <v>161</v>
      </c>
      <c r="F36" s="17">
        <v>115</v>
      </c>
      <c r="G36" s="37">
        <v>2014</v>
      </c>
      <c r="H36" s="17" t="s">
        <v>87</v>
      </c>
      <c r="I36" s="37" t="s">
        <v>76</v>
      </c>
      <c r="J36" s="18">
        <v>0.09</v>
      </c>
      <c r="K36" s="18">
        <v>0.96</v>
      </c>
      <c r="L36" s="18">
        <v>0.82</v>
      </c>
      <c r="M36" s="18">
        <v>0.02</v>
      </c>
    </row>
    <row r="37" spans="1:13" ht="15" customHeight="1" x14ac:dyDescent="0.3">
      <c r="A37" s="38">
        <v>33</v>
      </c>
      <c r="B37" s="19" t="s">
        <v>162</v>
      </c>
      <c r="C37" s="19" t="s">
        <v>163</v>
      </c>
      <c r="D37" s="20">
        <v>1.67</v>
      </c>
      <c r="E37" s="19" t="s">
        <v>164</v>
      </c>
      <c r="F37" s="19">
        <v>124</v>
      </c>
      <c r="G37" s="38">
        <v>2013</v>
      </c>
      <c r="H37" s="19" t="s">
        <v>87</v>
      </c>
      <c r="I37" s="38" t="s">
        <v>76</v>
      </c>
      <c r="J37" s="20">
        <v>0.59</v>
      </c>
      <c r="K37" s="20">
        <v>0.64</v>
      </c>
      <c r="L37" s="20">
        <v>0.05</v>
      </c>
      <c r="M37" s="20">
        <v>0.26</v>
      </c>
    </row>
    <row r="38" spans="1:13" ht="15" customHeight="1" x14ac:dyDescent="0.3">
      <c r="A38" s="37">
        <v>34</v>
      </c>
      <c r="B38" s="17" t="s">
        <v>165</v>
      </c>
      <c r="C38" s="17" t="s">
        <v>153</v>
      </c>
      <c r="D38" s="18">
        <v>1.92</v>
      </c>
      <c r="E38" s="17" t="s">
        <v>74</v>
      </c>
      <c r="F38" s="17">
        <v>170</v>
      </c>
      <c r="G38" s="37">
        <v>2019</v>
      </c>
      <c r="H38" s="17" t="s">
        <v>87</v>
      </c>
      <c r="I38" s="37" t="s">
        <v>76</v>
      </c>
      <c r="J38" s="18">
        <v>0.55000000000000004</v>
      </c>
      <c r="K38" s="18">
        <v>7.0000000000000007E-2</v>
      </c>
      <c r="L38" s="18">
        <v>0.56999999999999995</v>
      </c>
      <c r="M38" s="18">
        <v>0.12</v>
      </c>
    </row>
    <row r="39" spans="1:13" ht="15" customHeight="1" x14ac:dyDescent="0.3">
      <c r="A39" s="38">
        <v>35</v>
      </c>
      <c r="B39" s="19" t="s">
        <v>166</v>
      </c>
      <c r="C39" s="19" t="s">
        <v>167</v>
      </c>
      <c r="D39" s="20">
        <v>1.35</v>
      </c>
      <c r="E39" s="19" t="s">
        <v>168</v>
      </c>
      <c r="F39" s="19">
        <v>178</v>
      </c>
      <c r="G39" s="38">
        <v>2017</v>
      </c>
      <c r="H39" s="19" t="s">
        <v>169</v>
      </c>
      <c r="I39" s="38" t="s">
        <v>76</v>
      </c>
      <c r="J39" s="20">
        <v>0.69</v>
      </c>
      <c r="K39" s="20">
        <v>0.81</v>
      </c>
      <c r="L39" s="20">
        <v>0.81</v>
      </c>
      <c r="M39" s="20">
        <v>0.22</v>
      </c>
    </row>
    <row r="40" spans="1:13" ht="15" customHeight="1" x14ac:dyDescent="0.3">
      <c r="A40" s="37">
        <v>36</v>
      </c>
      <c r="B40" s="17" t="s">
        <v>170</v>
      </c>
      <c r="C40" s="17" t="s">
        <v>171</v>
      </c>
      <c r="D40" s="18">
        <v>1.33</v>
      </c>
      <c r="E40" s="17" t="s">
        <v>109</v>
      </c>
      <c r="F40" s="17">
        <v>105</v>
      </c>
      <c r="G40" s="37">
        <v>2017</v>
      </c>
      <c r="H40" s="17" t="s">
        <v>172</v>
      </c>
      <c r="I40" s="37" t="s">
        <v>76</v>
      </c>
      <c r="J40" s="18">
        <v>0.76</v>
      </c>
      <c r="K40" s="18">
        <v>0.57999999999999996</v>
      </c>
      <c r="L40" s="18">
        <v>0.61</v>
      </c>
      <c r="M40" s="18">
        <v>0.14000000000000001</v>
      </c>
    </row>
    <row r="41" spans="1:13" ht="15" customHeight="1" x14ac:dyDescent="0.3">
      <c r="A41" s="38">
        <v>37</v>
      </c>
      <c r="B41" s="19" t="s">
        <v>173</v>
      </c>
      <c r="C41" s="19" t="s">
        <v>174</v>
      </c>
      <c r="D41" s="20">
        <v>1.22</v>
      </c>
      <c r="E41" s="19" t="s">
        <v>175</v>
      </c>
      <c r="F41" s="19">
        <v>62</v>
      </c>
      <c r="G41" s="38">
        <v>2021</v>
      </c>
      <c r="H41" s="19" t="s">
        <v>80</v>
      </c>
      <c r="I41" s="38" t="s">
        <v>76</v>
      </c>
      <c r="J41" s="20">
        <v>0.34</v>
      </c>
      <c r="K41" s="20">
        <v>0.26</v>
      </c>
      <c r="L41" s="20">
        <v>0.17</v>
      </c>
      <c r="M41" s="20">
        <v>0.76</v>
      </c>
    </row>
    <row r="42" spans="1:13" ht="15" customHeight="1" x14ac:dyDescent="0.3">
      <c r="A42" s="37">
        <v>38</v>
      </c>
      <c r="B42" s="17" t="s">
        <v>176</v>
      </c>
      <c r="C42" s="17" t="s">
        <v>177</v>
      </c>
      <c r="D42" s="18">
        <v>1.55</v>
      </c>
      <c r="E42" s="17" t="s">
        <v>100</v>
      </c>
      <c r="F42" s="17">
        <v>171</v>
      </c>
      <c r="G42" s="37">
        <v>2002</v>
      </c>
      <c r="H42" s="17" t="s">
        <v>87</v>
      </c>
      <c r="I42" s="37" t="s">
        <v>94</v>
      </c>
      <c r="J42" s="18">
        <v>0.66</v>
      </c>
      <c r="K42" s="18">
        <v>0.62</v>
      </c>
      <c r="L42" s="18">
        <v>0.26</v>
      </c>
      <c r="M42" s="18">
        <v>0</v>
      </c>
    </row>
    <row r="43" spans="1:13" ht="15" customHeight="1" x14ac:dyDescent="0.3">
      <c r="A43" s="38">
        <v>39</v>
      </c>
      <c r="B43" s="19" t="s">
        <v>178</v>
      </c>
      <c r="C43" s="19" t="s">
        <v>179</v>
      </c>
      <c r="D43" s="20">
        <v>1.42</v>
      </c>
      <c r="E43" s="19" t="s">
        <v>97</v>
      </c>
      <c r="F43" s="19">
        <v>118</v>
      </c>
      <c r="G43" s="38">
        <v>2003</v>
      </c>
      <c r="H43" s="19" t="s">
        <v>87</v>
      </c>
      <c r="I43" s="38" t="s">
        <v>76</v>
      </c>
      <c r="J43" s="20">
        <v>0.46</v>
      </c>
      <c r="K43" s="20">
        <v>0.09</v>
      </c>
      <c r="L43" s="20">
        <v>0.15</v>
      </c>
      <c r="M43" s="20">
        <v>0.02</v>
      </c>
    </row>
    <row r="44" spans="1:13" ht="15" customHeight="1" x14ac:dyDescent="0.3">
      <c r="A44" s="37">
        <v>40</v>
      </c>
      <c r="B44" s="17" t="s">
        <v>180</v>
      </c>
      <c r="C44" s="17" t="s">
        <v>181</v>
      </c>
      <c r="D44" s="18">
        <v>0.68</v>
      </c>
      <c r="E44" s="17" t="s">
        <v>182</v>
      </c>
      <c r="F44" s="17">
        <v>117</v>
      </c>
      <c r="G44" s="37">
        <v>1991</v>
      </c>
      <c r="H44" s="17" t="s">
        <v>87</v>
      </c>
      <c r="I44" s="37" t="s">
        <v>76</v>
      </c>
      <c r="J44" s="18">
        <v>0.05</v>
      </c>
      <c r="K44" s="18">
        <v>0.09</v>
      </c>
      <c r="L44" s="18">
        <v>0.44</v>
      </c>
      <c r="M44" s="18">
        <v>0</v>
      </c>
    </row>
    <row r="45" spans="1:13" ht="15" customHeight="1" x14ac:dyDescent="0.3">
      <c r="A45" s="38">
        <v>41</v>
      </c>
      <c r="B45" s="19" t="s">
        <v>183</v>
      </c>
      <c r="C45" s="19" t="s">
        <v>184</v>
      </c>
      <c r="D45" s="20">
        <v>1.36</v>
      </c>
      <c r="E45" s="19" t="s">
        <v>83</v>
      </c>
      <c r="F45" s="19">
        <v>104</v>
      </c>
      <c r="G45" s="38">
        <v>2024</v>
      </c>
      <c r="H45" s="19" t="s">
        <v>87</v>
      </c>
      <c r="I45" s="38" t="s">
        <v>76</v>
      </c>
      <c r="J45" s="20">
        <v>0.08</v>
      </c>
      <c r="K45" s="20">
        <v>0.73</v>
      </c>
      <c r="L45" s="20">
        <v>0.96</v>
      </c>
      <c r="M45" s="20">
        <v>0.06</v>
      </c>
    </row>
    <row r="46" spans="1:13" ht="15" customHeight="1" x14ac:dyDescent="0.3">
      <c r="A46" s="37">
        <v>42</v>
      </c>
      <c r="B46" s="17" t="s">
        <v>185</v>
      </c>
      <c r="C46" s="17" t="s">
        <v>96</v>
      </c>
      <c r="D46" s="18">
        <v>1.34</v>
      </c>
      <c r="E46" s="17" t="s">
        <v>97</v>
      </c>
      <c r="F46" s="17">
        <v>136</v>
      </c>
      <c r="G46" s="37">
        <v>2012</v>
      </c>
      <c r="H46" s="17" t="s">
        <v>87</v>
      </c>
      <c r="I46" s="37" t="s">
        <v>76</v>
      </c>
      <c r="J46" s="18">
        <v>0.38</v>
      </c>
      <c r="K46" s="18">
        <v>0.76</v>
      </c>
      <c r="L46" s="18">
        <v>0.23</v>
      </c>
      <c r="M46" s="18">
        <v>0.01</v>
      </c>
    </row>
    <row r="47" spans="1:13" ht="15" customHeight="1" x14ac:dyDescent="0.3">
      <c r="A47" s="38">
        <v>43</v>
      </c>
      <c r="B47" s="19" t="s">
        <v>186</v>
      </c>
      <c r="C47" s="19" t="s">
        <v>187</v>
      </c>
      <c r="D47" s="20">
        <v>1.1200000000000001</v>
      </c>
      <c r="E47" s="19" t="s">
        <v>188</v>
      </c>
      <c r="F47" s="19">
        <v>112</v>
      </c>
      <c r="G47" s="38">
        <v>1985</v>
      </c>
      <c r="H47" s="19" t="s">
        <v>80</v>
      </c>
      <c r="I47" s="38" t="s">
        <v>76</v>
      </c>
      <c r="J47" s="20">
        <v>0.41</v>
      </c>
      <c r="K47" s="20">
        <v>0.68</v>
      </c>
      <c r="L47" s="20">
        <v>0.25</v>
      </c>
      <c r="M47" s="20">
        <v>0.08</v>
      </c>
    </row>
    <row r="48" spans="1:13" ht="15" customHeight="1" x14ac:dyDescent="0.3">
      <c r="A48" s="37">
        <v>44</v>
      </c>
      <c r="B48" s="17" t="s">
        <v>189</v>
      </c>
      <c r="C48" s="17" t="s">
        <v>190</v>
      </c>
      <c r="D48" s="18">
        <v>0.65</v>
      </c>
      <c r="E48" s="17" t="s">
        <v>100</v>
      </c>
      <c r="F48" s="17">
        <v>101</v>
      </c>
      <c r="G48" s="37">
        <v>2024</v>
      </c>
      <c r="H48" s="17" t="s">
        <v>87</v>
      </c>
      <c r="I48" s="37" t="s">
        <v>94</v>
      </c>
      <c r="J48" s="18">
        <v>0.82</v>
      </c>
      <c r="K48" s="18">
        <v>0.72</v>
      </c>
      <c r="L48" s="18">
        <v>0.62</v>
      </c>
      <c r="M48" s="18">
        <v>0.04</v>
      </c>
    </row>
    <row r="49" spans="1:13" ht="15" customHeight="1" x14ac:dyDescent="0.3">
      <c r="A49" s="38">
        <v>45</v>
      </c>
      <c r="B49" s="19" t="s">
        <v>191</v>
      </c>
      <c r="C49" s="19" t="s">
        <v>125</v>
      </c>
      <c r="D49" s="20">
        <v>1.08</v>
      </c>
      <c r="E49" s="19" t="s">
        <v>192</v>
      </c>
      <c r="F49" s="19">
        <v>166</v>
      </c>
      <c r="G49" s="38">
        <v>2021</v>
      </c>
      <c r="H49" s="19" t="s">
        <v>87</v>
      </c>
      <c r="I49" s="38" t="s">
        <v>76</v>
      </c>
      <c r="J49" s="20">
        <v>0.56000000000000005</v>
      </c>
      <c r="K49" s="20">
        <v>0.09</v>
      </c>
      <c r="L49" s="20">
        <v>0.65</v>
      </c>
      <c r="M49" s="20">
        <v>0</v>
      </c>
    </row>
    <row r="50" spans="1:13" ht="15" customHeight="1" x14ac:dyDescent="0.3">
      <c r="A50" s="37">
        <v>46</v>
      </c>
      <c r="B50" s="17" t="s">
        <v>193</v>
      </c>
      <c r="C50" s="17" t="s">
        <v>194</v>
      </c>
      <c r="D50" s="18">
        <v>1.96</v>
      </c>
      <c r="E50" s="17" t="s">
        <v>195</v>
      </c>
      <c r="F50" s="17">
        <v>150</v>
      </c>
      <c r="G50" s="37">
        <v>1994</v>
      </c>
      <c r="H50" s="17" t="s">
        <v>87</v>
      </c>
      <c r="I50" s="37" t="s">
        <v>76</v>
      </c>
      <c r="J50" s="18">
        <v>0.42</v>
      </c>
      <c r="K50" s="18">
        <v>0.66</v>
      </c>
      <c r="L50" s="18">
        <v>0.78</v>
      </c>
      <c r="M50" s="18">
        <v>0.32</v>
      </c>
    </row>
    <row r="51" spans="1:13" ht="15" customHeight="1" x14ac:dyDescent="0.3">
      <c r="A51" s="38">
        <v>47</v>
      </c>
      <c r="B51" s="19" t="s">
        <v>196</v>
      </c>
      <c r="C51" s="19" t="s">
        <v>197</v>
      </c>
      <c r="D51" s="20">
        <v>1.82</v>
      </c>
      <c r="E51" s="19" t="s">
        <v>74</v>
      </c>
      <c r="F51" s="19">
        <v>186</v>
      </c>
      <c r="G51" s="38">
        <v>2016</v>
      </c>
      <c r="H51" s="19" t="s">
        <v>75</v>
      </c>
      <c r="I51" s="38" t="s">
        <v>94</v>
      </c>
      <c r="J51" s="20">
        <v>0.68</v>
      </c>
      <c r="K51" s="20">
        <v>0.79</v>
      </c>
      <c r="L51" s="20">
        <v>0.05</v>
      </c>
      <c r="M51" s="20">
        <v>0</v>
      </c>
    </row>
    <row r="52" spans="1:13" ht="15" customHeight="1" x14ac:dyDescent="0.3">
      <c r="A52" s="37">
        <v>48</v>
      </c>
      <c r="B52" s="17" t="s">
        <v>198</v>
      </c>
      <c r="C52" s="17" t="s">
        <v>199</v>
      </c>
      <c r="D52" s="18">
        <v>1.79</v>
      </c>
      <c r="E52" s="17" t="s">
        <v>100</v>
      </c>
      <c r="F52" s="17">
        <v>130</v>
      </c>
      <c r="G52" s="37">
        <v>2016</v>
      </c>
      <c r="H52" s="17" t="s">
        <v>87</v>
      </c>
      <c r="I52" s="37" t="s">
        <v>94</v>
      </c>
      <c r="J52" s="18">
        <v>0.62</v>
      </c>
      <c r="K52" s="18">
        <v>0.68</v>
      </c>
      <c r="L52" s="18">
        <v>0.39</v>
      </c>
      <c r="M52" s="18">
        <v>0.06</v>
      </c>
    </row>
    <row r="53" spans="1:13" ht="15" customHeight="1" x14ac:dyDescent="0.3">
      <c r="A53" s="38">
        <v>49</v>
      </c>
      <c r="B53" s="19" t="s">
        <v>200</v>
      </c>
      <c r="C53" s="19" t="s">
        <v>201</v>
      </c>
      <c r="D53" s="20">
        <v>1.76</v>
      </c>
      <c r="E53" s="19" t="s">
        <v>202</v>
      </c>
      <c r="F53" s="19">
        <v>140</v>
      </c>
      <c r="G53" s="38">
        <v>2019</v>
      </c>
      <c r="H53" s="19" t="s">
        <v>87</v>
      </c>
      <c r="I53" s="38" t="s">
        <v>94</v>
      </c>
      <c r="J53" s="20">
        <v>0.64</v>
      </c>
      <c r="K53" s="20">
        <v>0.61</v>
      </c>
      <c r="L53" s="20">
        <v>0.49</v>
      </c>
      <c r="M53" s="20">
        <v>0.02</v>
      </c>
    </row>
    <row r="54" spans="1:13" ht="15" customHeight="1" x14ac:dyDescent="0.3">
      <c r="A54" s="37">
        <v>50</v>
      </c>
      <c r="B54" s="17" t="s">
        <v>203</v>
      </c>
      <c r="C54" s="17" t="s">
        <v>204</v>
      </c>
      <c r="D54" s="18">
        <v>1.44</v>
      </c>
      <c r="E54" s="17" t="s">
        <v>83</v>
      </c>
      <c r="F54" s="17">
        <v>120</v>
      </c>
      <c r="G54" s="37">
        <v>2024</v>
      </c>
      <c r="H54" s="17" t="s">
        <v>87</v>
      </c>
      <c r="I54" s="37" t="s">
        <v>76</v>
      </c>
      <c r="J54" s="18">
        <v>0.72</v>
      </c>
      <c r="K54" s="18">
        <v>0.68</v>
      </c>
      <c r="L54" s="18">
        <v>0.55000000000000004</v>
      </c>
      <c r="M54" s="18">
        <v>0.18</v>
      </c>
    </row>
    <row r="55" spans="1:13" ht="15" customHeight="1" x14ac:dyDescent="0.3">
      <c r="A55" s="38">
        <v>51</v>
      </c>
      <c r="B55" s="19" t="s">
        <v>205</v>
      </c>
      <c r="C55" s="19" t="s">
        <v>206</v>
      </c>
      <c r="D55" s="20">
        <v>0.66</v>
      </c>
      <c r="E55" s="19" t="s">
        <v>207</v>
      </c>
      <c r="F55" s="19">
        <v>90</v>
      </c>
      <c r="G55" s="38">
        <v>2021</v>
      </c>
      <c r="H55" s="19" t="s">
        <v>75</v>
      </c>
      <c r="I55" s="38" t="s">
        <v>76</v>
      </c>
      <c r="J55" s="20">
        <v>0.68</v>
      </c>
      <c r="K55" s="20">
        <v>0.52</v>
      </c>
      <c r="L55" s="20">
        <v>0.69</v>
      </c>
      <c r="M55" s="20">
        <v>0.16</v>
      </c>
    </row>
    <row r="56" spans="1:13" ht="15" customHeight="1" x14ac:dyDescent="0.3">
      <c r="A56" s="37">
        <v>52</v>
      </c>
      <c r="B56" s="17" t="s">
        <v>208</v>
      </c>
      <c r="C56" s="17" t="s">
        <v>112</v>
      </c>
      <c r="D56" s="18">
        <v>1.24</v>
      </c>
      <c r="E56" s="17" t="s">
        <v>143</v>
      </c>
      <c r="F56" s="17">
        <v>88</v>
      </c>
      <c r="G56" s="37">
        <v>2019</v>
      </c>
      <c r="H56" s="17" t="s">
        <v>80</v>
      </c>
      <c r="I56" s="37" t="s">
        <v>76</v>
      </c>
      <c r="J56" s="18">
        <v>0.43</v>
      </c>
      <c r="K56" s="18">
        <v>0.43</v>
      </c>
      <c r="L56" s="18">
        <v>7.0000000000000007E-2</v>
      </c>
      <c r="M56" s="18">
        <v>0.38</v>
      </c>
    </row>
    <row r="57" spans="1:13" ht="15" customHeight="1" x14ac:dyDescent="0.3">
      <c r="A57" s="38">
        <v>53</v>
      </c>
      <c r="B57" s="19" t="s">
        <v>209</v>
      </c>
      <c r="C57" s="19" t="s">
        <v>96</v>
      </c>
      <c r="D57" s="20">
        <v>2.29</v>
      </c>
      <c r="E57" s="19" t="s">
        <v>97</v>
      </c>
      <c r="F57" s="19">
        <v>168</v>
      </c>
      <c r="G57" s="38">
        <v>2017</v>
      </c>
      <c r="H57" s="19" t="s">
        <v>87</v>
      </c>
      <c r="I57" s="38" t="s">
        <v>76</v>
      </c>
      <c r="J57" s="20">
        <v>0.06</v>
      </c>
      <c r="K57" s="20">
        <v>0.52</v>
      </c>
      <c r="L57" s="20">
        <v>0.55000000000000004</v>
      </c>
      <c r="M57" s="20">
        <v>0.01</v>
      </c>
    </row>
    <row r="58" spans="1:13" ht="15" customHeight="1" x14ac:dyDescent="0.3">
      <c r="A58" s="37">
        <v>54</v>
      </c>
      <c r="B58" s="17" t="s">
        <v>210</v>
      </c>
      <c r="C58" s="17" t="s">
        <v>78</v>
      </c>
      <c r="D58" s="18">
        <v>1.22</v>
      </c>
      <c r="E58" s="17" t="s">
        <v>74</v>
      </c>
      <c r="F58" s="17">
        <v>126</v>
      </c>
      <c r="G58" s="37">
        <v>2021</v>
      </c>
      <c r="H58" s="17" t="s">
        <v>80</v>
      </c>
      <c r="I58" s="37" t="s">
        <v>76</v>
      </c>
      <c r="J58" s="18">
        <v>0.68</v>
      </c>
      <c r="K58" s="18">
        <v>0.83</v>
      </c>
      <c r="L58" s="18">
        <v>0.72</v>
      </c>
      <c r="M58" s="18">
        <v>0</v>
      </c>
    </row>
    <row r="59" spans="1:13" ht="15" customHeight="1" x14ac:dyDescent="0.3">
      <c r="A59" s="38">
        <v>55</v>
      </c>
      <c r="B59" s="19" t="s">
        <v>211</v>
      </c>
      <c r="C59" s="19" t="s">
        <v>136</v>
      </c>
      <c r="D59" s="20">
        <v>0.66</v>
      </c>
      <c r="E59" s="19" t="s">
        <v>161</v>
      </c>
      <c r="F59" s="19">
        <v>110</v>
      </c>
      <c r="G59" s="38">
        <v>2021</v>
      </c>
      <c r="H59" s="19" t="s">
        <v>138</v>
      </c>
      <c r="I59" s="38" t="s">
        <v>76</v>
      </c>
      <c r="J59" s="20">
        <v>0.79</v>
      </c>
      <c r="K59" s="20">
        <v>0.73</v>
      </c>
      <c r="L59" s="20">
        <v>0.74</v>
      </c>
      <c r="M59" s="20">
        <v>0.01</v>
      </c>
    </row>
    <row r="60" spans="1:13" ht="15" customHeight="1" x14ac:dyDescent="0.3">
      <c r="A60" s="37">
        <v>56</v>
      </c>
      <c r="B60" s="17" t="s">
        <v>212</v>
      </c>
      <c r="C60" s="17" t="s">
        <v>213</v>
      </c>
      <c r="D60" s="18">
        <v>1.54</v>
      </c>
      <c r="E60" s="17" t="s">
        <v>83</v>
      </c>
      <c r="F60" s="17">
        <v>82</v>
      </c>
      <c r="G60" s="37">
        <v>2014</v>
      </c>
      <c r="H60" s="17" t="s">
        <v>80</v>
      </c>
      <c r="I60" s="37" t="s">
        <v>76</v>
      </c>
      <c r="J60" s="18">
        <v>0.56000000000000005</v>
      </c>
      <c r="K60" s="18">
        <v>0.54</v>
      </c>
      <c r="L60" s="18">
        <v>0.72</v>
      </c>
      <c r="M60" s="18">
        <v>0.03</v>
      </c>
    </row>
    <row r="61" spans="1:13" ht="15" customHeight="1" x14ac:dyDescent="0.3">
      <c r="A61" s="38">
        <v>57</v>
      </c>
      <c r="B61" s="19" t="s">
        <v>214</v>
      </c>
      <c r="C61" s="19" t="s">
        <v>215</v>
      </c>
      <c r="D61" s="20">
        <v>1.52</v>
      </c>
      <c r="E61" s="19" t="s">
        <v>143</v>
      </c>
      <c r="F61" s="19">
        <v>191</v>
      </c>
      <c r="G61" s="38">
        <v>2018</v>
      </c>
      <c r="H61" s="19" t="s">
        <v>87</v>
      </c>
      <c r="I61" s="38" t="s">
        <v>76</v>
      </c>
      <c r="J61" s="20">
        <v>0.66</v>
      </c>
      <c r="K61" s="20">
        <v>0.83</v>
      </c>
      <c r="L61" s="20">
        <v>0.84</v>
      </c>
      <c r="M61" s="20">
        <v>0.04</v>
      </c>
    </row>
    <row r="62" spans="1:13" ht="15" customHeight="1" x14ac:dyDescent="0.3">
      <c r="A62" s="37">
        <v>58</v>
      </c>
      <c r="B62" s="17" t="s">
        <v>216</v>
      </c>
      <c r="C62" s="17" t="s">
        <v>217</v>
      </c>
      <c r="D62" s="18">
        <v>1.25</v>
      </c>
      <c r="E62" s="17" t="s">
        <v>218</v>
      </c>
      <c r="F62" s="17">
        <v>131</v>
      </c>
      <c r="G62" s="37">
        <v>2013</v>
      </c>
      <c r="H62" s="17" t="s">
        <v>93</v>
      </c>
      <c r="I62" s="37" t="s">
        <v>76</v>
      </c>
      <c r="J62" s="18">
        <v>0.66</v>
      </c>
      <c r="K62" s="18">
        <v>0.55000000000000004</v>
      </c>
      <c r="L62" s="18">
        <v>0.82</v>
      </c>
      <c r="M62" s="18">
        <v>0.05</v>
      </c>
    </row>
    <row r="63" spans="1:13" ht="15" customHeight="1" x14ac:dyDescent="0.3">
      <c r="A63" s="38">
        <v>59</v>
      </c>
      <c r="B63" s="19" t="s">
        <v>219</v>
      </c>
      <c r="C63" s="19" t="s">
        <v>220</v>
      </c>
      <c r="D63" s="20">
        <v>1.49</v>
      </c>
      <c r="E63" s="19" t="s">
        <v>221</v>
      </c>
      <c r="F63" s="19">
        <v>78</v>
      </c>
      <c r="G63" s="38">
        <v>2016</v>
      </c>
      <c r="H63" s="19" t="s">
        <v>222</v>
      </c>
      <c r="I63" s="38" t="s">
        <v>76</v>
      </c>
      <c r="J63" s="20">
        <v>0.46</v>
      </c>
      <c r="K63" s="20">
        <v>0.48</v>
      </c>
      <c r="L63" s="20">
        <v>0.28000000000000003</v>
      </c>
      <c r="M63" s="20">
        <v>0.26</v>
      </c>
    </row>
    <row r="64" spans="1:13" ht="15" customHeight="1" x14ac:dyDescent="0.3">
      <c r="A64" s="37">
        <v>60</v>
      </c>
      <c r="B64" s="17" t="s">
        <v>223</v>
      </c>
      <c r="C64" s="17" t="s">
        <v>224</v>
      </c>
      <c r="D64" s="18">
        <v>1.46</v>
      </c>
      <c r="E64" s="17" t="s">
        <v>113</v>
      </c>
      <c r="F64" s="17">
        <v>86</v>
      </c>
      <c r="G64" s="37">
        <v>2020</v>
      </c>
      <c r="H64" s="17" t="s">
        <v>87</v>
      </c>
      <c r="I64" s="37" t="s">
        <v>76</v>
      </c>
      <c r="J64" s="18">
        <v>0.44</v>
      </c>
      <c r="K64" s="18">
        <v>0.03</v>
      </c>
      <c r="L64" s="18">
        <v>0.03</v>
      </c>
      <c r="M64" s="18">
        <v>0.54</v>
      </c>
    </row>
    <row r="65" spans="1:13" ht="15" customHeight="1" x14ac:dyDescent="0.3">
      <c r="A65" s="38">
        <v>61</v>
      </c>
      <c r="B65" s="19" t="s">
        <v>225</v>
      </c>
      <c r="C65" s="19" t="s">
        <v>226</v>
      </c>
      <c r="D65" s="20">
        <v>1.22</v>
      </c>
      <c r="E65" s="19" t="s">
        <v>192</v>
      </c>
      <c r="F65" s="19">
        <v>150</v>
      </c>
      <c r="G65" s="38">
        <v>2020</v>
      </c>
      <c r="H65" s="19" t="s">
        <v>87</v>
      </c>
      <c r="I65" s="38" t="s">
        <v>94</v>
      </c>
      <c r="J65" s="20">
        <v>7.0000000000000007E-2</v>
      </c>
      <c r="K65" s="20">
        <v>0.75</v>
      </c>
      <c r="L65" s="20">
        <v>0.06</v>
      </c>
      <c r="M65" s="20">
        <v>0.02</v>
      </c>
    </row>
    <row r="66" spans="1:13" ht="15" customHeight="1" x14ac:dyDescent="0.3">
      <c r="A66" s="37">
        <v>62</v>
      </c>
      <c r="B66" s="17" t="s">
        <v>227</v>
      </c>
      <c r="C66" s="17" t="s">
        <v>78</v>
      </c>
      <c r="D66" s="18">
        <v>2.25</v>
      </c>
      <c r="E66" s="17" t="s">
        <v>228</v>
      </c>
      <c r="F66" s="17">
        <v>96</v>
      </c>
      <c r="G66" s="37">
        <v>2014</v>
      </c>
      <c r="H66" s="17" t="s">
        <v>80</v>
      </c>
      <c r="I66" s="37" t="s">
        <v>76</v>
      </c>
      <c r="J66" s="18">
        <v>0.06</v>
      </c>
      <c r="K66" s="18">
        <v>0.56000000000000005</v>
      </c>
      <c r="L66" s="18">
        <v>0.52</v>
      </c>
      <c r="M66" s="18">
        <v>0.31</v>
      </c>
    </row>
    <row r="67" spans="1:13" ht="15" customHeight="1" x14ac:dyDescent="0.3">
      <c r="A67" s="38">
        <v>63</v>
      </c>
      <c r="B67" s="19" t="s">
        <v>229</v>
      </c>
      <c r="C67" s="19" t="s">
        <v>206</v>
      </c>
      <c r="D67" s="20">
        <v>2.13</v>
      </c>
      <c r="E67" s="19" t="s">
        <v>230</v>
      </c>
      <c r="F67" s="19">
        <v>102</v>
      </c>
      <c r="G67" s="38">
        <v>2015</v>
      </c>
      <c r="H67" s="19" t="s">
        <v>75</v>
      </c>
      <c r="I67" s="38" t="s">
        <v>76</v>
      </c>
      <c r="J67" s="20">
        <v>0.62</v>
      </c>
      <c r="K67" s="20">
        <v>0.38</v>
      </c>
      <c r="L67" s="20">
        <v>0.55000000000000004</v>
      </c>
      <c r="M67" s="20">
        <v>0.46</v>
      </c>
    </row>
    <row r="68" spans="1:13" ht="15" customHeight="1" x14ac:dyDescent="0.3">
      <c r="A68" s="37">
        <v>64</v>
      </c>
      <c r="B68" s="17" t="s">
        <v>231</v>
      </c>
      <c r="C68" s="17" t="s">
        <v>232</v>
      </c>
      <c r="D68" s="18">
        <v>2.02</v>
      </c>
      <c r="E68" s="17" t="s">
        <v>83</v>
      </c>
      <c r="F68" s="17">
        <v>130</v>
      </c>
      <c r="G68" s="37">
        <v>2018</v>
      </c>
      <c r="H68" s="17" t="s">
        <v>87</v>
      </c>
      <c r="I68" s="37" t="s">
        <v>76</v>
      </c>
      <c r="J68" s="18">
        <v>0.57999999999999996</v>
      </c>
      <c r="K68" s="18">
        <v>0.69</v>
      </c>
      <c r="L68" s="18">
        <v>0.03</v>
      </c>
      <c r="M68" s="18">
        <v>0.05</v>
      </c>
    </row>
    <row r="69" spans="1:13" ht="15" customHeight="1" x14ac:dyDescent="0.3">
      <c r="A69" s="38">
        <v>65</v>
      </c>
      <c r="B69" s="19" t="s">
        <v>233</v>
      </c>
      <c r="C69" s="19" t="s">
        <v>234</v>
      </c>
      <c r="D69" s="20">
        <v>1.29</v>
      </c>
      <c r="E69" s="19" t="s">
        <v>105</v>
      </c>
      <c r="F69" s="19">
        <v>103</v>
      </c>
      <c r="G69" s="38">
        <v>2017</v>
      </c>
      <c r="H69" s="19" t="s">
        <v>106</v>
      </c>
      <c r="I69" s="38" t="s">
        <v>76</v>
      </c>
      <c r="J69" s="20">
        <v>0.62</v>
      </c>
      <c r="K69" s="20">
        <v>0.73</v>
      </c>
      <c r="L69" s="20">
        <v>0.53</v>
      </c>
      <c r="M69" s="20">
        <v>0.06</v>
      </c>
    </row>
    <row r="70" spans="1:13" ht="15" customHeight="1" x14ac:dyDescent="0.3">
      <c r="A70" s="37">
        <v>66</v>
      </c>
      <c r="B70" s="17" t="s">
        <v>235</v>
      </c>
      <c r="C70" s="17" t="s">
        <v>201</v>
      </c>
      <c r="D70" s="18">
        <v>1.85</v>
      </c>
      <c r="E70" s="17" t="s">
        <v>207</v>
      </c>
      <c r="F70" s="17">
        <v>144</v>
      </c>
      <c r="G70" s="37">
        <v>2020</v>
      </c>
      <c r="H70" s="17" t="s">
        <v>87</v>
      </c>
      <c r="I70" s="37" t="s">
        <v>76</v>
      </c>
      <c r="J70" s="18">
        <v>0.74</v>
      </c>
      <c r="K70" s="18">
        <v>0.66</v>
      </c>
      <c r="L70" s="18">
        <v>0.69</v>
      </c>
      <c r="M70" s="18">
        <v>0.04</v>
      </c>
    </row>
    <row r="71" spans="1:13" ht="15" customHeight="1" x14ac:dyDescent="0.3">
      <c r="A71" s="38">
        <v>67</v>
      </c>
      <c r="B71" s="19" t="s">
        <v>236</v>
      </c>
      <c r="C71" s="19" t="s">
        <v>237</v>
      </c>
      <c r="D71" s="20">
        <v>2.2200000000000002</v>
      </c>
      <c r="E71" s="19" t="s">
        <v>100</v>
      </c>
      <c r="F71" s="19">
        <v>98</v>
      </c>
      <c r="G71" s="38">
        <v>2016</v>
      </c>
      <c r="H71" s="19" t="s">
        <v>87</v>
      </c>
      <c r="I71" s="38" t="s">
        <v>76</v>
      </c>
      <c r="J71" s="20">
        <v>0.72</v>
      </c>
      <c r="K71" s="20">
        <v>0.62</v>
      </c>
      <c r="L71" s="20">
        <v>0.44</v>
      </c>
      <c r="M71" s="20">
        <v>0.06</v>
      </c>
    </row>
    <row r="72" spans="1:13" ht="15" customHeight="1" x14ac:dyDescent="0.3">
      <c r="A72" s="37">
        <v>68</v>
      </c>
      <c r="B72" s="17" t="s">
        <v>238</v>
      </c>
      <c r="C72" s="17" t="s">
        <v>78</v>
      </c>
      <c r="D72" s="18">
        <v>1.21</v>
      </c>
      <c r="E72" s="17" t="s">
        <v>239</v>
      </c>
      <c r="F72" s="17">
        <v>79</v>
      </c>
      <c r="G72" s="37">
        <v>2014</v>
      </c>
      <c r="H72" s="17" t="s">
        <v>80</v>
      </c>
      <c r="I72" s="37" t="s">
        <v>76</v>
      </c>
      <c r="J72" s="18">
        <v>0.78</v>
      </c>
      <c r="K72" s="18">
        <v>0.44</v>
      </c>
      <c r="L72" s="18">
        <v>0.46</v>
      </c>
      <c r="M72" s="18">
        <v>0.03</v>
      </c>
    </row>
    <row r="73" spans="1:13" ht="15" customHeight="1" x14ac:dyDescent="0.3">
      <c r="A73" s="38">
        <v>69</v>
      </c>
      <c r="B73" s="19" t="s">
        <v>240</v>
      </c>
      <c r="C73" s="19" t="s">
        <v>140</v>
      </c>
      <c r="D73" s="20">
        <v>1.28</v>
      </c>
      <c r="E73" s="19" t="s">
        <v>143</v>
      </c>
      <c r="F73" s="19">
        <v>72</v>
      </c>
      <c r="G73" s="38">
        <v>2013</v>
      </c>
      <c r="H73" s="19" t="s">
        <v>87</v>
      </c>
      <c r="I73" s="38" t="s">
        <v>76</v>
      </c>
      <c r="J73" s="20">
        <v>0.36</v>
      </c>
      <c r="K73" s="20">
        <v>0.53</v>
      </c>
      <c r="L73" s="20">
        <v>0.24</v>
      </c>
      <c r="M73" s="20">
        <v>0.24</v>
      </c>
    </row>
    <row r="74" spans="1:13" ht="15" customHeight="1" x14ac:dyDescent="0.3">
      <c r="A74" s="37">
        <v>70</v>
      </c>
      <c r="B74" s="17" t="s">
        <v>241</v>
      </c>
      <c r="C74" s="17" t="s">
        <v>242</v>
      </c>
      <c r="D74" s="18">
        <v>1.88</v>
      </c>
      <c r="E74" s="17" t="s">
        <v>113</v>
      </c>
      <c r="F74" s="17">
        <v>98</v>
      </c>
      <c r="G74" s="37">
        <v>2022</v>
      </c>
      <c r="H74" s="17" t="s">
        <v>87</v>
      </c>
      <c r="I74" s="37" t="s">
        <v>76</v>
      </c>
      <c r="J74" s="18">
        <v>0.59</v>
      </c>
      <c r="K74" s="18">
        <v>0.55000000000000004</v>
      </c>
      <c r="L74" s="18">
        <v>0.86</v>
      </c>
      <c r="M74" s="18">
        <v>0.28000000000000003</v>
      </c>
    </row>
    <row r="75" spans="1:13" ht="15" customHeight="1" x14ac:dyDescent="0.3">
      <c r="A75" s="38">
        <v>71</v>
      </c>
      <c r="B75" s="19" t="s">
        <v>243</v>
      </c>
      <c r="C75" s="19" t="s">
        <v>244</v>
      </c>
      <c r="D75" s="20">
        <v>2.16</v>
      </c>
      <c r="E75" s="19" t="s">
        <v>83</v>
      </c>
      <c r="F75" s="19">
        <v>84</v>
      </c>
      <c r="G75" s="38">
        <v>2016</v>
      </c>
      <c r="H75" s="19" t="s">
        <v>93</v>
      </c>
      <c r="I75" s="38" t="s">
        <v>76</v>
      </c>
      <c r="J75" s="20">
        <v>0.64</v>
      </c>
      <c r="K75" s="20">
        <v>0.44</v>
      </c>
      <c r="L75" s="20">
        <v>0.55000000000000004</v>
      </c>
      <c r="M75" s="20">
        <v>0.18</v>
      </c>
    </row>
    <row r="76" spans="1:13" ht="15" customHeight="1" x14ac:dyDescent="0.3">
      <c r="A76" s="37">
        <v>72</v>
      </c>
      <c r="B76" s="17" t="s">
        <v>245</v>
      </c>
      <c r="C76" s="17" t="s">
        <v>246</v>
      </c>
      <c r="D76" s="18">
        <v>1.59</v>
      </c>
      <c r="E76" s="17" t="s">
        <v>192</v>
      </c>
      <c r="F76" s="17">
        <v>144</v>
      </c>
      <c r="G76" s="37">
        <v>2021</v>
      </c>
      <c r="H76" s="17" t="s">
        <v>87</v>
      </c>
      <c r="I76" s="37" t="s">
        <v>94</v>
      </c>
      <c r="J76" s="18">
        <v>0.57999999999999996</v>
      </c>
      <c r="K76" s="18">
        <v>0.85</v>
      </c>
      <c r="L76" s="18">
        <v>0.68</v>
      </c>
      <c r="M76" s="18">
        <v>0.02</v>
      </c>
    </row>
    <row r="77" spans="1:13" ht="15" customHeight="1" x14ac:dyDescent="0.3">
      <c r="A77" s="38">
        <v>73</v>
      </c>
      <c r="B77" s="19" t="s">
        <v>247</v>
      </c>
      <c r="C77" s="19" t="s">
        <v>248</v>
      </c>
      <c r="D77" s="20">
        <v>1.24</v>
      </c>
      <c r="E77" s="19" t="s">
        <v>113</v>
      </c>
      <c r="F77" s="19">
        <v>138</v>
      </c>
      <c r="G77" s="38">
        <v>2021</v>
      </c>
      <c r="H77" s="19" t="s">
        <v>87</v>
      </c>
      <c r="I77" s="38" t="s">
        <v>76</v>
      </c>
      <c r="J77" s="20">
        <v>0.76</v>
      </c>
      <c r="K77" s="20">
        <v>0.08</v>
      </c>
      <c r="L77" s="20">
        <v>0.96</v>
      </c>
      <c r="M77" s="20">
        <v>0.06</v>
      </c>
    </row>
    <row r="78" spans="1:13" ht="15" customHeight="1" x14ac:dyDescent="0.3">
      <c r="A78" s="37">
        <v>74</v>
      </c>
      <c r="B78" s="17" t="s">
        <v>249</v>
      </c>
      <c r="C78" s="17" t="s">
        <v>250</v>
      </c>
      <c r="D78" s="18">
        <v>0.64</v>
      </c>
      <c r="E78" s="17" t="s">
        <v>143</v>
      </c>
      <c r="F78" s="17">
        <v>97</v>
      </c>
      <c r="G78" s="37">
        <v>2024</v>
      </c>
      <c r="H78" s="17" t="s">
        <v>87</v>
      </c>
      <c r="I78" s="37" t="s">
        <v>76</v>
      </c>
      <c r="J78" s="18">
        <v>0.46</v>
      </c>
      <c r="K78" s="18">
        <v>0.68</v>
      </c>
      <c r="L78" s="18">
        <v>0.46</v>
      </c>
      <c r="M78" s="18">
        <v>7.0000000000000007E-2</v>
      </c>
    </row>
    <row r="79" spans="1:13" ht="15" customHeight="1" x14ac:dyDescent="0.3">
      <c r="A79" s="38">
        <v>75</v>
      </c>
      <c r="B79" s="19" t="s">
        <v>251</v>
      </c>
      <c r="C79" s="19" t="s">
        <v>252</v>
      </c>
      <c r="D79" s="20">
        <v>1.27</v>
      </c>
      <c r="E79" s="19" t="s">
        <v>83</v>
      </c>
      <c r="F79" s="19">
        <v>97</v>
      </c>
      <c r="G79" s="38">
        <v>2022</v>
      </c>
      <c r="H79" s="19" t="s">
        <v>87</v>
      </c>
      <c r="I79" s="38" t="s">
        <v>76</v>
      </c>
      <c r="J79" s="20">
        <v>0.62</v>
      </c>
      <c r="K79" s="20">
        <v>0.62</v>
      </c>
      <c r="L79" s="20">
        <v>0.44</v>
      </c>
      <c r="M79" s="20">
        <v>0.14000000000000001</v>
      </c>
    </row>
    <row r="80" spans="1:13" ht="15" customHeight="1" x14ac:dyDescent="0.3">
      <c r="A80" s="37">
        <v>76</v>
      </c>
      <c r="B80" s="17" t="s">
        <v>253</v>
      </c>
      <c r="C80" s="17" t="s">
        <v>254</v>
      </c>
      <c r="D80" s="18">
        <v>1.46</v>
      </c>
      <c r="E80" s="17" t="s">
        <v>83</v>
      </c>
      <c r="F80" s="17">
        <v>107</v>
      </c>
      <c r="G80" s="37">
        <v>2020</v>
      </c>
      <c r="H80" s="17" t="s">
        <v>255</v>
      </c>
      <c r="I80" s="37" t="s">
        <v>76</v>
      </c>
      <c r="J80" s="18">
        <v>0.76</v>
      </c>
      <c r="K80" s="18">
        <v>0.69</v>
      </c>
      <c r="L80" s="18">
        <v>0.65</v>
      </c>
      <c r="M80" s="18">
        <v>0.01</v>
      </c>
    </row>
    <row r="81" spans="1:13" ht="15" customHeight="1" x14ac:dyDescent="0.3">
      <c r="A81" s="38">
        <v>77</v>
      </c>
      <c r="B81" s="19" t="s">
        <v>256</v>
      </c>
      <c r="C81" s="19" t="s">
        <v>257</v>
      </c>
      <c r="D81" s="20">
        <v>1.26</v>
      </c>
      <c r="E81" s="19" t="s">
        <v>258</v>
      </c>
      <c r="F81" s="19">
        <v>145</v>
      </c>
      <c r="G81" s="38">
        <v>2024</v>
      </c>
      <c r="H81" s="19" t="s">
        <v>138</v>
      </c>
      <c r="I81" s="38" t="s">
        <v>76</v>
      </c>
      <c r="J81" s="20">
        <v>0.86</v>
      </c>
      <c r="K81" s="20">
        <v>0.79</v>
      </c>
      <c r="L81" s="20">
        <v>0.88</v>
      </c>
      <c r="M81" s="20">
        <v>0.05</v>
      </c>
    </row>
    <row r="82" spans="1:13" ht="15" customHeight="1" x14ac:dyDescent="0.3">
      <c r="A82" s="37">
        <v>78</v>
      </c>
      <c r="B82" s="17" t="s">
        <v>259</v>
      </c>
      <c r="C82" s="17" t="s">
        <v>260</v>
      </c>
      <c r="D82" s="18">
        <v>1.38</v>
      </c>
      <c r="E82" s="17" t="s">
        <v>97</v>
      </c>
      <c r="F82" s="17">
        <v>64</v>
      </c>
      <c r="G82" s="37">
        <v>2006</v>
      </c>
      <c r="H82" s="17" t="s">
        <v>87</v>
      </c>
      <c r="I82" s="37" t="s">
        <v>76</v>
      </c>
      <c r="J82" s="18">
        <v>0.31</v>
      </c>
      <c r="K82" s="18">
        <v>0.85</v>
      </c>
      <c r="L82" s="18">
        <v>0.12</v>
      </c>
      <c r="M82" s="18">
        <v>0</v>
      </c>
    </row>
    <row r="83" spans="1:13" ht="15" customHeight="1" x14ac:dyDescent="0.3">
      <c r="A83" s="38">
        <v>79</v>
      </c>
      <c r="B83" s="19" t="s">
        <v>261</v>
      </c>
      <c r="C83" s="19" t="s">
        <v>262</v>
      </c>
      <c r="D83" s="20">
        <v>1.32</v>
      </c>
      <c r="E83" s="19" t="s">
        <v>97</v>
      </c>
      <c r="F83" s="19">
        <v>77</v>
      </c>
      <c r="G83" s="38">
        <v>1998</v>
      </c>
      <c r="H83" s="19" t="s">
        <v>87</v>
      </c>
      <c r="I83" s="38" t="s">
        <v>76</v>
      </c>
      <c r="J83" s="20">
        <v>0.33</v>
      </c>
      <c r="K83" s="20">
        <v>0.28000000000000003</v>
      </c>
      <c r="L83" s="20">
        <v>0.14000000000000001</v>
      </c>
      <c r="M83" s="20">
        <v>0.57999999999999996</v>
      </c>
    </row>
    <row r="84" spans="1:13" ht="15" customHeight="1" x14ac:dyDescent="0.3">
      <c r="A84" s="37">
        <v>80</v>
      </c>
      <c r="B84" s="17" t="s">
        <v>263</v>
      </c>
      <c r="C84" s="17" t="s">
        <v>264</v>
      </c>
      <c r="D84" s="18">
        <v>0.67</v>
      </c>
      <c r="E84" s="17" t="s">
        <v>100</v>
      </c>
      <c r="F84" s="17">
        <v>145</v>
      </c>
      <c r="G84" s="37">
        <v>2019</v>
      </c>
      <c r="H84" s="17" t="s">
        <v>93</v>
      </c>
      <c r="I84" s="37" t="s">
        <v>76</v>
      </c>
      <c r="J84" s="18">
        <v>0.72</v>
      </c>
      <c r="K84" s="18">
        <v>0.79</v>
      </c>
      <c r="L84" s="18">
        <v>0.38</v>
      </c>
      <c r="M84" s="18">
        <v>0.04</v>
      </c>
    </row>
    <row r="85" spans="1:13" ht="15" customHeight="1" x14ac:dyDescent="0.3">
      <c r="A85" s="38">
        <v>81</v>
      </c>
      <c r="B85" s="19" t="s">
        <v>265</v>
      </c>
      <c r="C85" s="19" t="s">
        <v>266</v>
      </c>
      <c r="D85" s="20">
        <v>1.28</v>
      </c>
      <c r="E85" s="19" t="s">
        <v>267</v>
      </c>
      <c r="F85" s="19">
        <v>106</v>
      </c>
      <c r="G85" s="38">
        <v>2024</v>
      </c>
      <c r="H85" s="19" t="s">
        <v>87</v>
      </c>
      <c r="I85" s="38" t="s">
        <v>76</v>
      </c>
      <c r="J85" s="20">
        <v>0.72</v>
      </c>
      <c r="K85" s="20">
        <v>0.65</v>
      </c>
      <c r="L85" s="20">
        <v>0.72</v>
      </c>
      <c r="M85" s="20">
        <v>0.14000000000000001</v>
      </c>
    </row>
    <row r="86" spans="1:13" ht="15" customHeight="1" x14ac:dyDescent="0.3">
      <c r="A86" s="37">
        <v>82</v>
      </c>
      <c r="B86" s="17" t="s">
        <v>268</v>
      </c>
      <c r="C86" s="17" t="s">
        <v>269</v>
      </c>
      <c r="D86" s="18">
        <v>1.25</v>
      </c>
      <c r="E86" s="17" t="s">
        <v>270</v>
      </c>
      <c r="F86" s="17">
        <v>90</v>
      </c>
      <c r="G86" s="37">
        <v>2023</v>
      </c>
      <c r="H86" s="17" t="s">
        <v>87</v>
      </c>
      <c r="I86" s="37" t="s">
        <v>76</v>
      </c>
      <c r="J86" s="18">
        <v>0.06</v>
      </c>
      <c r="K86" s="18">
        <v>0.55000000000000004</v>
      </c>
      <c r="L86" s="18">
        <v>0.64</v>
      </c>
      <c r="M86" s="18">
        <v>0.21</v>
      </c>
    </row>
    <row r="87" spans="1:13" ht="15" customHeight="1" x14ac:dyDescent="0.3">
      <c r="A87" s="38">
        <v>83</v>
      </c>
      <c r="B87" s="19" t="s">
        <v>271</v>
      </c>
      <c r="C87" s="19" t="s">
        <v>272</v>
      </c>
      <c r="D87" s="20">
        <v>1.23</v>
      </c>
      <c r="E87" s="19" t="s">
        <v>218</v>
      </c>
      <c r="F87" s="19">
        <v>86</v>
      </c>
      <c r="G87" s="38">
        <v>2024</v>
      </c>
      <c r="H87" s="19" t="s">
        <v>273</v>
      </c>
      <c r="I87" s="38" t="s">
        <v>76</v>
      </c>
      <c r="J87" s="20">
        <v>0.62</v>
      </c>
      <c r="K87" s="20">
        <v>0.48</v>
      </c>
      <c r="L87" s="20">
        <v>0.68</v>
      </c>
      <c r="M87" s="20">
        <v>0.42</v>
      </c>
    </row>
    <row r="88" spans="1:13" ht="15" customHeight="1" x14ac:dyDescent="0.3">
      <c r="A88" s="37">
        <v>84</v>
      </c>
      <c r="B88" s="17" t="s">
        <v>274</v>
      </c>
      <c r="C88" s="17" t="s">
        <v>112</v>
      </c>
      <c r="D88" s="18">
        <v>1.25</v>
      </c>
      <c r="E88" s="17" t="s">
        <v>275</v>
      </c>
      <c r="F88" s="17">
        <v>90</v>
      </c>
      <c r="G88" s="37">
        <v>2017</v>
      </c>
      <c r="H88" s="17" t="s">
        <v>80</v>
      </c>
      <c r="I88" s="37" t="s">
        <v>76</v>
      </c>
      <c r="J88" s="18">
        <v>0.03</v>
      </c>
      <c r="K88" s="18">
        <v>0.53</v>
      </c>
      <c r="L88" s="18">
        <v>0.01</v>
      </c>
      <c r="M88" s="18">
        <v>0.02</v>
      </c>
    </row>
    <row r="89" spans="1:13" ht="15" customHeight="1" x14ac:dyDescent="0.3">
      <c r="A89" s="38">
        <v>85</v>
      </c>
      <c r="B89" s="19" t="s">
        <v>276</v>
      </c>
      <c r="C89" s="19" t="s">
        <v>112</v>
      </c>
      <c r="D89" s="20">
        <v>0.69</v>
      </c>
      <c r="E89" s="19" t="s">
        <v>113</v>
      </c>
      <c r="F89" s="19">
        <v>108</v>
      </c>
      <c r="G89" s="38">
        <v>2019</v>
      </c>
      <c r="H89" s="19" t="s">
        <v>80</v>
      </c>
      <c r="I89" s="38" t="s">
        <v>76</v>
      </c>
      <c r="J89" s="20">
        <v>0.56000000000000005</v>
      </c>
      <c r="K89" s="20">
        <v>0.76</v>
      </c>
      <c r="L89" s="20">
        <v>0.66</v>
      </c>
      <c r="M89" s="20">
        <v>0.04</v>
      </c>
    </row>
    <row r="90" spans="1:13" ht="15" customHeight="1" x14ac:dyDescent="0.3">
      <c r="A90" s="37">
        <v>86</v>
      </c>
      <c r="B90" s="17" t="s">
        <v>277</v>
      </c>
      <c r="C90" s="17" t="s">
        <v>278</v>
      </c>
      <c r="D90" s="18">
        <v>1.48</v>
      </c>
      <c r="E90" s="17" t="s">
        <v>113</v>
      </c>
      <c r="F90" s="17">
        <v>86</v>
      </c>
      <c r="G90" s="37">
        <v>2019</v>
      </c>
      <c r="H90" s="17" t="s">
        <v>279</v>
      </c>
      <c r="I90" s="37" t="s">
        <v>76</v>
      </c>
      <c r="J90" s="18">
        <v>0.34</v>
      </c>
      <c r="K90" s="18">
        <v>0.03</v>
      </c>
      <c r="L90" s="18">
        <v>0.01</v>
      </c>
      <c r="M90" s="18">
        <v>0.52</v>
      </c>
    </row>
    <row r="91" spans="1:13" ht="15" customHeight="1" x14ac:dyDescent="0.3">
      <c r="A91" s="38">
        <v>87</v>
      </c>
      <c r="B91" s="19" t="s">
        <v>280</v>
      </c>
      <c r="C91" s="19" t="s">
        <v>281</v>
      </c>
      <c r="D91" s="20">
        <v>1.02</v>
      </c>
      <c r="E91" s="19" t="s">
        <v>86</v>
      </c>
      <c r="F91" s="19">
        <v>80</v>
      </c>
      <c r="G91" s="38">
        <v>2015</v>
      </c>
      <c r="H91" s="19" t="s">
        <v>87</v>
      </c>
      <c r="I91" s="38" t="s">
        <v>76</v>
      </c>
      <c r="J91" s="20">
        <v>0.53</v>
      </c>
      <c r="K91" s="20">
        <v>0.37</v>
      </c>
      <c r="L91" s="20">
        <v>0.48</v>
      </c>
      <c r="M91" s="20">
        <v>0.42</v>
      </c>
    </row>
    <row r="92" spans="1:13" ht="15" customHeight="1" x14ac:dyDescent="0.3">
      <c r="A92" s="37">
        <v>88</v>
      </c>
      <c r="B92" s="17" t="s">
        <v>282</v>
      </c>
      <c r="C92" s="17" t="s">
        <v>283</v>
      </c>
      <c r="D92" s="18">
        <v>1.04</v>
      </c>
      <c r="E92" s="17" t="s">
        <v>83</v>
      </c>
      <c r="F92" s="17">
        <v>107</v>
      </c>
      <c r="G92" s="37">
        <v>2017</v>
      </c>
      <c r="H92" s="17" t="s">
        <v>87</v>
      </c>
      <c r="I92" s="37" t="s">
        <v>94</v>
      </c>
      <c r="J92" s="18">
        <v>0.78</v>
      </c>
      <c r="K92" s="18">
        <v>0.68</v>
      </c>
      <c r="L92" s="18">
        <v>0.06</v>
      </c>
      <c r="M92" s="18">
        <v>0.06</v>
      </c>
    </row>
    <row r="93" spans="1:13" ht="15" customHeight="1" x14ac:dyDescent="0.3">
      <c r="A93" s="38">
        <v>89</v>
      </c>
      <c r="B93" s="19" t="s">
        <v>284</v>
      </c>
      <c r="C93" s="19" t="s">
        <v>250</v>
      </c>
      <c r="D93" s="20">
        <v>1.28</v>
      </c>
      <c r="E93" s="19" t="s">
        <v>83</v>
      </c>
      <c r="F93" s="19">
        <v>80</v>
      </c>
      <c r="G93" s="38">
        <v>2023</v>
      </c>
      <c r="H93" s="19" t="s">
        <v>87</v>
      </c>
      <c r="I93" s="38" t="s">
        <v>76</v>
      </c>
      <c r="J93" s="20">
        <v>0.51</v>
      </c>
      <c r="K93" s="20">
        <v>0.44</v>
      </c>
      <c r="L93" s="20">
        <v>0.42</v>
      </c>
      <c r="M93" s="20">
        <v>0.28000000000000003</v>
      </c>
    </row>
    <row r="94" spans="1:13" ht="15" customHeight="1" x14ac:dyDescent="0.3">
      <c r="A94" s="37">
        <v>90</v>
      </c>
      <c r="B94" s="17" t="s">
        <v>285</v>
      </c>
      <c r="C94" s="17" t="s">
        <v>286</v>
      </c>
      <c r="D94" s="18">
        <v>1.43</v>
      </c>
      <c r="E94" s="17" t="s">
        <v>287</v>
      </c>
      <c r="F94" s="17">
        <v>115</v>
      </c>
      <c r="G94" s="37">
        <v>2021</v>
      </c>
      <c r="H94" s="17" t="s">
        <v>87</v>
      </c>
      <c r="I94" s="37" t="s">
        <v>76</v>
      </c>
      <c r="J94" s="18">
        <v>0.78</v>
      </c>
      <c r="K94" s="18">
        <v>0.66</v>
      </c>
      <c r="L94" s="18">
        <v>0.08</v>
      </c>
      <c r="M94" s="18">
        <v>0.02</v>
      </c>
    </row>
    <row r="95" spans="1:13" ht="15" customHeight="1" x14ac:dyDescent="0.3">
      <c r="A95" s="38">
        <v>91</v>
      </c>
      <c r="B95" s="19" t="s">
        <v>288</v>
      </c>
      <c r="C95" s="19" t="s">
        <v>289</v>
      </c>
      <c r="D95" s="20">
        <v>0.66</v>
      </c>
      <c r="E95" s="19" t="s">
        <v>164</v>
      </c>
      <c r="F95" s="19">
        <v>139</v>
      </c>
      <c r="G95" s="38">
        <v>2022</v>
      </c>
      <c r="H95" s="19" t="s">
        <v>87</v>
      </c>
      <c r="I95" s="38" t="s">
        <v>76</v>
      </c>
      <c r="J95" s="20">
        <v>0.52</v>
      </c>
      <c r="K95" s="20">
        <v>0.64</v>
      </c>
      <c r="L95" s="20">
        <v>0.44</v>
      </c>
      <c r="M95" s="20">
        <v>0.01</v>
      </c>
    </row>
    <row r="96" spans="1:13" ht="15" customHeight="1" x14ac:dyDescent="0.3">
      <c r="A96" s="37">
        <v>92</v>
      </c>
      <c r="B96" s="17" t="s">
        <v>290</v>
      </c>
      <c r="C96" s="17" t="s">
        <v>291</v>
      </c>
      <c r="D96" s="18">
        <v>1.1399999999999999</v>
      </c>
      <c r="E96" s="17" t="s">
        <v>113</v>
      </c>
      <c r="F96" s="17">
        <v>104</v>
      </c>
      <c r="G96" s="37">
        <v>2013</v>
      </c>
      <c r="H96" s="17" t="s">
        <v>292</v>
      </c>
      <c r="I96" s="37" t="s">
        <v>76</v>
      </c>
      <c r="J96" s="18">
        <v>0.38</v>
      </c>
      <c r="K96" s="18">
        <v>0.44</v>
      </c>
      <c r="L96" s="18">
        <v>0.22</v>
      </c>
      <c r="M96" s="18">
        <v>0.03</v>
      </c>
    </row>
    <row r="97" spans="1:13" ht="15" customHeight="1" x14ac:dyDescent="0.3">
      <c r="A97" s="38">
        <v>93</v>
      </c>
      <c r="B97" s="19" t="s">
        <v>293</v>
      </c>
      <c r="C97" s="19" t="s">
        <v>294</v>
      </c>
      <c r="D97" s="20">
        <v>1.06</v>
      </c>
      <c r="E97" s="19" t="s">
        <v>143</v>
      </c>
      <c r="F97" s="19">
        <v>139</v>
      </c>
      <c r="G97" s="38">
        <v>1996</v>
      </c>
      <c r="H97" s="19" t="s">
        <v>295</v>
      </c>
      <c r="I97" s="38" t="s">
        <v>76</v>
      </c>
      <c r="J97" s="20">
        <v>0.74</v>
      </c>
      <c r="K97" s="20">
        <v>0.76</v>
      </c>
      <c r="L97" s="20">
        <v>0.86</v>
      </c>
      <c r="M97" s="20">
        <v>0.38</v>
      </c>
    </row>
    <row r="98" spans="1:13" ht="15" customHeight="1" x14ac:dyDescent="0.3">
      <c r="A98" s="37">
        <v>94</v>
      </c>
      <c r="B98" s="17" t="s">
        <v>296</v>
      </c>
      <c r="C98" s="17" t="s">
        <v>297</v>
      </c>
      <c r="D98" s="18">
        <v>1.22</v>
      </c>
      <c r="E98" s="17" t="s">
        <v>97</v>
      </c>
      <c r="F98" s="17">
        <v>154</v>
      </c>
      <c r="G98" s="37">
        <v>2001</v>
      </c>
      <c r="H98" s="17" t="s">
        <v>80</v>
      </c>
      <c r="I98" s="37" t="s">
        <v>76</v>
      </c>
      <c r="J98" s="18">
        <v>0.44</v>
      </c>
      <c r="K98" s="18">
        <v>0.82</v>
      </c>
      <c r="L98" s="18">
        <v>0.44</v>
      </c>
      <c r="M98" s="18">
        <v>0.04</v>
      </c>
    </row>
    <row r="99" spans="1:13" ht="15" customHeight="1" x14ac:dyDescent="0.3">
      <c r="A99" s="38">
        <v>95</v>
      </c>
      <c r="B99" s="19" t="s">
        <v>298</v>
      </c>
      <c r="C99" s="19" t="s">
        <v>299</v>
      </c>
      <c r="D99" s="20">
        <v>1.18</v>
      </c>
      <c r="E99" s="19" t="s">
        <v>83</v>
      </c>
      <c r="F99" s="19">
        <v>90</v>
      </c>
      <c r="G99" s="38">
        <v>2023</v>
      </c>
      <c r="H99" s="19" t="s">
        <v>279</v>
      </c>
      <c r="I99" s="38" t="s">
        <v>76</v>
      </c>
      <c r="J99" s="20">
        <v>0.66</v>
      </c>
      <c r="K99" s="20">
        <v>0.54</v>
      </c>
      <c r="L99" s="20">
        <v>0.76</v>
      </c>
      <c r="M99" s="20">
        <v>0.22</v>
      </c>
    </row>
    <row r="100" spans="1:13" ht="15" customHeight="1" x14ac:dyDescent="0.3">
      <c r="A100" s="37">
        <v>96</v>
      </c>
      <c r="B100" s="17" t="s">
        <v>300</v>
      </c>
      <c r="C100" s="17" t="s">
        <v>301</v>
      </c>
      <c r="D100" s="18">
        <v>1.52</v>
      </c>
      <c r="E100" s="17" t="s">
        <v>105</v>
      </c>
      <c r="F100" s="17">
        <v>143</v>
      </c>
      <c r="G100" s="37">
        <v>2018</v>
      </c>
      <c r="H100" s="17" t="s">
        <v>80</v>
      </c>
      <c r="I100" s="37" t="s">
        <v>76</v>
      </c>
      <c r="J100" s="18">
        <v>0.76</v>
      </c>
      <c r="K100" s="18">
        <v>0.88</v>
      </c>
      <c r="L100" s="18">
        <v>0.72</v>
      </c>
      <c r="M100" s="18">
        <v>0</v>
      </c>
    </row>
    <row r="101" spans="1:13" ht="15" customHeight="1" x14ac:dyDescent="0.3">
      <c r="A101" s="38">
        <v>97</v>
      </c>
      <c r="B101" s="19" t="s">
        <v>302</v>
      </c>
      <c r="C101" s="19" t="s">
        <v>303</v>
      </c>
      <c r="D101" s="20">
        <v>1.04</v>
      </c>
      <c r="E101" s="19" t="s">
        <v>74</v>
      </c>
      <c r="F101" s="19">
        <v>171</v>
      </c>
      <c r="G101" s="38">
        <v>2020</v>
      </c>
      <c r="H101" s="19" t="s">
        <v>304</v>
      </c>
      <c r="I101" s="38" t="s">
        <v>76</v>
      </c>
      <c r="J101" s="20">
        <v>0.54</v>
      </c>
      <c r="K101" s="20">
        <v>0.08</v>
      </c>
      <c r="L101" s="20">
        <v>0.36</v>
      </c>
      <c r="M101" s="20">
        <v>0.01</v>
      </c>
    </row>
    <row r="102" spans="1:13" ht="15" customHeight="1" x14ac:dyDescent="0.3">
      <c r="A102" s="37">
        <v>98</v>
      </c>
      <c r="B102" s="17" t="s">
        <v>305</v>
      </c>
      <c r="C102" s="17" t="s">
        <v>306</v>
      </c>
      <c r="D102" s="18">
        <v>1.1599999999999999</v>
      </c>
      <c r="E102" s="17" t="s">
        <v>113</v>
      </c>
      <c r="F102" s="17">
        <v>150</v>
      </c>
      <c r="G102" s="37">
        <v>2018</v>
      </c>
      <c r="H102" s="17" t="s">
        <v>87</v>
      </c>
      <c r="I102" s="37" t="s">
        <v>76</v>
      </c>
      <c r="J102" s="18">
        <v>0.64</v>
      </c>
      <c r="K102" s="18">
        <v>0.42</v>
      </c>
      <c r="L102" s="18">
        <v>0.72</v>
      </c>
      <c r="M102" s="18">
        <v>0.38</v>
      </c>
    </row>
    <row r="103" spans="1:13" ht="15" customHeight="1" x14ac:dyDescent="0.3">
      <c r="A103" s="38">
        <v>99</v>
      </c>
      <c r="B103" s="19" t="s">
        <v>307</v>
      </c>
      <c r="C103" s="19" t="s">
        <v>308</v>
      </c>
      <c r="D103" s="20">
        <v>1.85</v>
      </c>
      <c r="E103" s="19" t="s">
        <v>100</v>
      </c>
      <c r="F103" s="19">
        <v>142</v>
      </c>
      <c r="G103" s="38">
        <v>2020</v>
      </c>
      <c r="H103" s="19" t="s">
        <v>75</v>
      </c>
      <c r="I103" s="38" t="s">
        <v>94</v>
      </c>
      <c r="J103" s="20">
        <v>0.82</v>
      </c>
      <c r="K103" s="20">
        <v>0.62</v>
      </c>
      <c r="L103" s="20">
        <v>0.55000000000000004</v>
      </c>
      <c r="M103" s="20">
        <v>0.02</v>
      </c>
    </row>
    <row r="104" spans="1:13" ht="15" customHeight="1" x14ac:dyDescent="0.3">
      <c r="A104" s="37">
        <v>100</v>
      </c>
      <c r="B104" s="17" t="s">
        <v>309</v>
      </c>
      <c r="C104" s="17" t="s">
        <v>153</v>
      </c>
      <c r="D104" s="18">
        <v>0.66</v>
      </c>
      <c r="E104" s="17" t="s">
        <v>83</v>
      </c>
      <c r="F104" s="62">
        <v>160</v>
      </c>
      <c r="G104" s="103">
        <v>2014</v>
      </c>
      <c r="H104" s="62" t="s">
        <v>87</v>
      </c>
      <c r="I104" s="103" t="s">
        <v>76</v>
      </c>
      <c r="J104" s="63">
        <v>0.65</v>
      </c>
      <c r="K104" s="63">
        <v>0.08</v>
      </c>
      <c r="L104" s="63">
        <v>0.94</v>
      </c>
      <c r="M104" s="63">
        <v>0.06</v>
      </c>
    </row>
  </sheetData>
  <autoFilter ref="A4:M4" xr:uid="{00000000-0001-0000-0200-000000000000}"/>
  <mergeCells count="2">
    <mergeCell ref="A1:M1"/>
    <mergeCell ref="A2:M3"/>
  </mergeCells>
  <printOptions horizontalCentered="1"/>
  <pageMargins left="0.15" right="0.15" top="0.4" bottom="0.4" header="0.511811023622047" footer="0.15"/>
  <pageSetup scale="79" fitToHeight="0" orientation="landscape" r:id="rId1"/>
  <headerFooter>
    <oddFooter>&amp;L&amp;8 &amp;K666666Rifal Azhar Permana — Spotify Music Trend Analytics&amp;R&amp;8 &amp;K666666Page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6"/>
  <sheetViews>
    <sheetView showGridLines="0" tabSelected="1" zoomScaleNormal="100" workbookViewId="0">
      <selection activeCell="I7" sqref="I7:L7"/>
    </sheetView>
  </sheetViews>
  <sheetFormatPr defaultColWidth="8.6640625" defaultRowHeight="14.4" x14ac:dyDescent="0.3"/>
  <cols>
    <col min="1" max="1" width="26.5546875" bestFit="1" customWidth="1"/>
    <col min="2" max="2" width="22" bestFit="1" customWidth="1"/>
    <col min="3" max="3" width="19.77734375" bestFit="1" customWidth="1"/>
    <col min="4" max="4" width="22.109375" bestFit="1" customWidth="1"/>
    <col min="5" max="5" width="13.77734375" bestFit="1" customWidth="1"/>
    <col min="6" max="6" width="20.44140625" bestFit="1" customWidth="1"/>
    <col min="7" max="7" width="15" bestFit="1" customWidth="1"/>
    <col min="8" max="8" width="7.21875" customWidth="1"/>
  </cols>
  <sheetData>
    <row r="1" spans="1:9" ht="27.75" customHeight="1" thickBot="1" x14ac:dyDescent="0.35">
      <c r="A1" s="60" t="s">
        <v>310</v>
      </c>
      <c r="B1" s="60"/>
      <c r="C1" s="60"/>
      <c r="D1" s="60"/>
      <c r="E1" s="60"/>
      <c r="F1" s="60"/>
      <c r="G1" s="60"/>
      <c r="H1" s="60"/>
    </row>
    <row r="2" spans="1:9" ht="15" customHeight="1" thickTop="1" x14ac:dyDescent="0.3">
      <c r="A2" s="45" t="s">
        <v>311</v>
      </c>
      <c r="B2" s="45"/>
      <c r="C2" s="45"/>
      <c r="D2" s="45"/>
      <c r="E2" s="45"/>
      <c r="F2" s="45"/>
      <c r="G2" s="45"/>
      <c r="H2" s="45"/>
    </row>
    <row r="3" spans="1:9" x14ac:dyDescent="0.3">
      <c r="A3" s="36"/>
      <c r="B3" s="36"/>
      <c r="C3" s="36"/>
      <c r="D3" s="36"/>
      <c r="E3" s="36"/>
      <c r="F3" s="36"/>
      <c r="G3" s="36"/>
      <c r="H3" s="36"/>
    </row>
    <row r="4" spans="1:9" ht="34.5" customHeight="1" thickBot="1" x14ac:dyDescent="0.35">
      <c r="A4" s="58" t="s">
        <v>56</v>
      </c>
      <c r="B4" s="59" t="s">
        <v>312</v>
      </c>
      <c r="C4" s="59" t="s">
        <v>64</v>
      </c>
      <c r="D4" s="59" t="s">
        <v>313</v>
      </c>
      <c r="E4" s="59" t="s">
        <v>314</v>
      </c>
      <c r="F4" s="59" t="s">
        <v>42</v>
      </c>
      <c r="G4" s="59" t="s">
        <v>315</v>
      </c>
      <c r="H4" s="59" t="s">
        <v>54</v>
      </c>
    </row>
    <row r="5" spans="1:9" ht="15" customHeight="1" x14ac:dyDescent="0.3">
      <c r="A5" s="17" t="s">
        <v>78</v>
      </c>
      <c r="B5" s="52">
        <f>COUNTIF('Raw Data'!$C$5:$C$104,$A5)</f>
        <v>5</v>
      </c>
      <c r="C5" s="18">
        <f>SUMIF('Raw Data'!$C$5:$C$104,$A5,'Raw Data'!$D$5:$D$104)</f>
        <v>9.52</v>
      </c>
      <c r="D5" s="18">
        <f t="shared" ref="D5:D16" si="0">C5/B5</f>
        <v>1.9039999999999999</v>
      </c>
      <c r="E5" s="21">
        <f>AVERAGEIF('Raw Data'!$C$5:$C$104,$A5,'Raw Data'!$F$5:$F$104)</f>
        <v>98.4</v>
      </c>
      <c r="F5" s="18">
        <f>AVERAGEIF('Raw Data'!$C$5:$C$104,$A5,'Raw Data'!$J$5:$J$104)</f>
        <v>0.60199999999999998</v>
      </c>
      <c r="G5" s="22">
        <f>C5/SUM('Raw Data'!$D$5:$D$104)</f>
        <v>5.7893456579907583E-2</v>
      </c>
      <c r="H5" s="37">
        <f t="shared" ref="H5:H16" si="1">RANK(C5,$C$5:$C$16)</f>
        <v>1</v>
      </c>
    </row>
    <row r="6" spans="1:9" ht="15" customHeight="1" x14ac:dyDescent="0.3">
      <c r="A6" s="19" t="s">
        <v>112</v>
      </c>
      <c r="B6" s="39">
        <f>COUNTIF('Raw Data'!$C$5:$C$104,$A6)</f>
        <v>5</v>
      </c>
      <c r="C6" s="20">
        <f>SUMIF('Raw Data'!$C$5:$C$104,$A6,'Raw Data'!$D$5:$D$104)</f>
        <v>7.58</v>
      </c>
      <c r="D6" s="20">
        <f t="shared" si="0"/>
        <v>1.516</v>
      </c>
      <c r="E6" s="23">
        <f>AVERAGEIF('Raw Data'!$C$5:$C$104,$A6,'Raw Data'!$F$5:$F$104)</f>
        <v>111</v>
      </c>
      <c r="F6" s="20">
        <f>AVERAGEIF('Raw Data'!$C$5:$C$104,$A6,'Raw Data'!$J$5:$J$104)</f>
        <v>0.41799999999999998</v>
      </c>
      <c r="G6" s="24">
        <f>C6/SUM('Raw Data'!$D$5:$D$104)</f>
        <v>4.6095840428119698E-2</v>
      </c>
      <c r="H6" s="38">
        <f t="shared" si="1"/>
        <v>2</v>
      </c>
    </row>
    <row r="7" spans="1:9" ht="15" customHeight="1" x14ac:dyDescent="0.3">
      <c r="A7" s="17" t="s">
        <v>73</v>
      </c>
      <c r="B7" s="52">
        <f>COUNTIF('Raw Data'!$C$5:$C$104,$A7)</f>
        <v>3</v>
      </c>
      <c r="C7" s="18">
        <f>SUMIF('Raw Data'!$C$5:$C$104,$A7,'Raw Data'!$D$5:$D$104)</f>
        <v>7.4</v>
      </c>
      <c r="D7" s="18">
        <f t="shared" si="0"/>
        <v>2.4666666666666668</v>
      </c>
      <c r="E7" s="21">
        <f>AVERAGEIF('Raw Data'!$C$5:$C$104,$A7,'Raw Data'!$F$5:$F$104)</f>
        <v>128</v>
      </c>
      <c r="F7" s="18">
        <f>AVERAGEIF('Raw Data'!$C$5:$C$104,$A7,'Raw Data'!$J$5:$J$104)</f>
        <v>0.41</v>
      </c>
      <c r="G7" s="22">
        <f>C7/SUM('Raw Data'!$D$5:$D$104)</f>
        <v>4.500121624908783E-2</v>
      </c>
      <c r="H7" s="37">
        <f t="shared" si="1"/>
        <v>3</v>
      </c>
      <c r="I7" t="str">
        <f>TEXT(Dashboard!G17,"0.0")&amp;" Miliar"</f>
        <v>164 Miliar</v>
      </c>
    </row>
    <row r="8" spans="1:9" ht="15" customHeight="1" x14ac:dyDescent="0.3">
      <c r="A8" s="19" t="s">
        <v>96</v>
      </c>
      <c r="B8" s="39">
        <f>COUNTIF('Raw Data'!$C$5:$C$104,$A8)</f>
        <v>3</v>
      </c>
      <c r="C8" s="20">
        <f>SUMIF('Raw Data'!$C$5:$C$104,$A8,'Raw Data'!$D$5:$D$104)</f>
        <v>6.19</v>
      </c>
      <c r="D8" s="20">
        <f t="shared" si="0"/>
        <v>2.0633333333333335</v>
      </c>
      <c r="E8" s="23">
        <f>AVERAGEIF('Raw Data'!$C$5:$C$104,$A8,'Raw Data'!$F$5:$F$104)</f>
        <v>143</v>
      </c>
      <c r="F8" s="20">
        <f>AVERAGEIF('Raw Data'!$C$5:$C$104,$A8,'Raw Data'!$J$5:$J$104)</f>
        <v>0.25666666666666665</v>
      </c>
      <c r="G8" s="24">
        <f>C8/SUM('Raw Data'!$D$5:$D$104)</f>
        <v>3.7642909267818069E-2</v>
      </c>
      <c r="H8" s="38">
        <f t="shared" si="1"/>
        <v>4</v>
      </c>
    </row>
    <row r="9" spans="1:9" ht="15" customHeight="1" x14ac:dyDescent="0.3">
      <c r="A9" s="17" t="s">
        <v>153</v>
      </c>
      <c r="B9" s="52">
        <f>COUNTIF('Raw Data'!$C$5:$C$104,$A9)</f>
        <v>3</v>
      </c>
      <c r="C9" s="18">
        <f>SUMIF('Raw Data'!$C$5:$C$104,$A9,'Raw Data'!$D$5:$D$104)</f>
        <v>4.7699999999999996</v>
      </c>
      <c r="D9" s="18">
        <f t="shared" si="0"/>
        <v>1.5899999999999999</v>
      </c>
      <c r="E9" s="21">
        <f>AVERAGEIF('Raw Data'!$C$5:$C$104,$A9,'Raw Data'!$F$5:$F$104)</f>
        <v>142.33333333333334</v>
      </c>
      <c r="F9" s="18">
        <f>AVERAGEIF('Raw Data'!$C$5:$C$104,$A9,'Raw Data'!$J$5:$J$104)</f>
        <v>0.61333333333333329</v>
      </c>
      <c r="G9" s="22">
        <f>C9/SUM('Raw Data'!$D$5:$D$104)</f>
        <v>2.9007540744344449E-2</v>
      </c>
      <c r="H9" s="37">
        <f t="shared" si="1"/>
        <v>5</v>
      </c>
    </row>
    <row r="10" spans="1:9" ht="15" customHeight="1" x14ac:dyDescent="0.3">
      <c r="A10" s="19" t="s">
        <v>201</v>
      </c>
      <c r="B10" s="39">
        <f>COUNTIF('Raw Data'!$C$5:$C$104,$A10)</f>
        <v>2</v>
      </c>
      <c r="C10" s="20">
        <f>SUMIF('Raw Data'!$C$5:$C$104,$A10,'Raw Data'!$D$5:$D$104)</f>
        <v>3.6100000000000003</v>
      </c>
      <c r="D10" s="20">
        <f t="shared" si="0"/>
        <v>1.8050000000000002</v>
      </c>
      <c r="E10" s="23">
        <f>AVERAGEIF('Raw Data'!$C$5:$C$104,$A10,'Raw Data'!$F$5:$F$104)</f>
        <v>142</v>
      </c>
      <c r="F10" s="20">
        <f>AVERAGEIF('Raw Data'!$C$5:$C$104,$A10,'Raw Data'!$J$5:$J$104)</f>
        <v>0.69</v>
      </c>
      <c r="G10" s="24">
        <f>C10/SUM('Raw Data'!$D$5:$D$104)</f>
        <v>2.1953296035027985E-2</v>
      </c>
      <c r="H10" s="38">
        <f t="shared" si="1"/>
        <v>6</v>
      </c>
    </row>
    <row r="11" spans="1:9" ht="15" customHeight="1" x14ac:dyDescent="0.3">
      <c r="A11" s="17" t="s">
        <v>140</v>
      </c>
      <c r="B11" s="52">
        <f>COUNTIF('Raw Data'!$C$5:$C$104,$A11)</f>
        <v>2</v>
      </c>
      <c r="C11" s="18">
        <f>SUMIF('Raw Data'!$C$5:$C$104,$A11,'Raw Data'!$D$5:$D$104)</f>
        <v>3.24</v>
      </c>
      <c r="D11" s="18">
        <f t="shared" si="0"/>
        <v>1.62</v>
      </c>
      <c r="E11" s="21">
        <f>AVERAGEIF('Raw Data'!$C$5:$C$104,$A11,'Raw Data'!$F$5:$F$104)</f>
        <v>95</v>
      </c>
      <c r="F11" s="18">
        <f>AVERAGEIF('Raw Data'!$C$5:$C$104,$A11,'Raw Data'!$J$5:$J$104)</f>
        <v>0.55000000000000004</v>
      </c>
      <c r="G11" s="22">
        <f>C11/SUM('Raw Data'!$D$5:$D$104)</f>
        <v>1.9703235222573591E-2</v>
      </c>
      <c r="H11" s="37">
        <f t="shared" si="1"/>
        <v>7</v>
      </c>
    </row>
    <row r="12" spans="1:9" ht="15" customHeight="1" x14ac:dyDescent="0.3">
      <c r="A12" s="19" t="s">
        <v>125</v>
      </c>
      <c r="B12" s="39">
        <f>COUNTIF('Raw Data'!$C$5:$C$104,$A12)</f>
        <v>2</v>
      </c>
      <c r="C12" s="20">
        <f>SUMIF('Raw Data'!$C$5:$C$104,$A12,'Raw Data'!$D$5:$D$104)</f>
        <v>3.22</v>
      </c>
      <c r="D12" s="20">
        <f t="shared" si="0"/>
        <v>1.61</v>
      </c>
      <c r="E12" s="23">
        <f>AVERAGEIF('Raw Data'!$C$5:$C$104,$A12,'Raw Data'!$F$5:$F$104)</f>
        <v>119.5</v>
      </c>
      <c r="F12" s="20">
        <f>AVERAGEIF('Raw Data'!$C$5:$C$104,$A12,'Raw Data'!$J$5:$J$104)</f>
        <v>0.57499999999999996</v>
      </c>
      <c r="G12" s="24">
        <f>C12/SUM('Raw Data'!$D$5:$D$104)</f>
        <v>1.9581610313792273E-2</v>
      </c>
      <c r="H12" s="38">
        <f t="shared" si="1"/>
        <v>8</v>
      </c>
    </row>
    <row r="13" spans="1:9" ht="15" customHeight="1" x14ac:dyDescent="0.3">
      <c r="A13" s="17" t="s">
        <v>206</v>
      </c>
      <c r="B13" s="52">
        <f>COUNTIF('Raw Data'!$C$5:$C$104,$A13)</f>
        <v>2</v>
      </c>
      <c r="C13" s="18">
        <f>SUMIF('Raw Data'!$C$5:$C$104,$A13,'Raw Data'!$D$5:$D$104)</f>
        <v>2.79</v>
      </c>
      <c r="D13" s="18">
        <f t="shared" si="0"/>
        <v>1.395</v>
      </c>
      <c r="E13" s="21">
        <f>AVERAGEIF('Raw Data'!$C$5:$C$104,$A13,'Raw Data'!$F$5:$F$104)</f>
        <v>96</v>
      </c>
      <c r="F13" s="18">
        <f>AVERAGEIF('Raw Data'!$C$5:$C$104,$A13,'Raw Data'!$J$5:$J$104)</f>
        <v>0.65</v>
      </c>
      <c r="G13" s="22">
        <f>C13/SUM('Raw Data'!$D$5:$D$104)</f>
        <v>1.6966674774993924E-2</v>
      </c>
      <c r="H13" s="37">
        <f t="shared" si="1"/>
        <v>9</v>
      </c>
    </row>
    <row r="14" spans="1:9" ht="15" customHeight="1" x14ac:dyDescent="0.3">
      <c r="A14" s="19" t="s">
        <v>85</v>
      </c>
      <c r="B14" s="39">
        <f>COUNTIF('Raw Data'!$C$5:$C$104,$A14)</f>
        <v>1</v>
      </c>
      <c r="C14" s="20">
        <f>SUMIF('Raw Data'!$C$5:$C$104,$A14,'Raw Data'!$D$5:$D$104)</f>
        <v>2.78</v>
      </c>
      <c r="D14" s="20">
        <f t="shared" si="0"/>
        <v>2.78</v>
      </c>
      <c r="E14" s="23">
        <f>AVERAGEIF('Raw Data'!$C$5:$C$104,$A14,'Raw Data'!$F$5:$F$104)</f>
        <v>93</v>
      </c>
      <c r="F14" s="20">
        <f>AVERAGEIF('Raw Data'!$C$5:$C$104,$A14,'Raw Data'!$J$5:$J$104)</f>
        <v>0.76</v>
      </c>
      <c r="G14" s="24">
        <f>C14/SUM('Raw Data'!$D$5:$D$104)</f>
        <v>1.6905862320603263E-2</v>
      </c>
      <c r="H14" s="38">
        <f t="shared" si="1"/>
        <v>10</v>
      </c>
    </row>
    <row r="15" spans="1:9" ht="15" customHeight="1" x14ac:dyDescent="0.3">
      <c r="A15" s="17" t="s">
        <v>89</v>
      </c>
      <c r="B15" s="52">
        <f>COUNTIF('Raw Data'!$C$5:$C$104,$A15)</f>
        <v>1</v>
      </c>
      <c r="C15" s="18">
        <f>SUMIF('Raw Data'!$C$5:$C$104,$A15,'Raw Data'!$D$5:$D$104)</f>
        <v>2.72</v>
      </c>
      <c r="D15" s="18">
        <f t="shared" si="0"/>
        <v>2.72</v>
      </c>
      <c r="E15" s="21">
        <f>AVERAGEIF('Raw Data'!$C$5:$C$104,$A15,'Raw Data'!$F$5:$F$104)</f>
        <v>100</v>
      </c>
      <c r="F15" s="18">
        <f>AVERAGEIF('Raw Data'!$C$5:$C$104,$A15,'Raw Data'!$J$5:$J$104)</f>
        <v>0.79</v>
      </c>
      <c r="G15" s="22">
        <f>C15/SUM('Raw Data'!$D$5:$D$104)</f>
        <v>1.6540987594259312E-2</v>
      </c>
      <c r="H15" s="37">
        <f t="shared" si="1"/>
        <v>11</v>
      </c>
    </row>
    <row r="16" spans="1:9" ht="15" customHeight="1" x14ac:dyDescent="0.3">
      <c r="A16" s="53" t="s">
        <v>92</v>
      </c>
      <c r="B16" s="54">
        <f>COUNTIF('Raw Data'!$C$5:$C$104,$A16)</f>
        <v>1</v>
      </c>
      <c r="C16" s="55">
        <f>SUMIF('Raw Data'!$C$5:$C$104,$A16,'Raw Data'!$D$5:$D$104)</f>
        <v>2.67</v>
      </c>
      <c r="D16" s="55">
        <f t="shared" si="0"/>
        <v>2.67</v>
      </c>
      <c r="E16" s="56">
        <f>AVERAGEIF('Raw Data'!$C$5:$C$104,$A16,'Raw Data'!$F$5:$F$104)</f>
        <v>170</v>
      </c>
      <c r="F16" s="55">
        <f>AVERAGEIF('Raw Data'!$C$5:$C$104,$A16,'Raw Data'!$J$5:$J$104)</f>
        <v>0.59</v>
      </c>
      <c r="G16" s="57">
        <f>C16/SUM('Raw Data'!$D$5:$D$104)</f>
        <v>1.6236925322306014E-2</v>
      </c>
      <c r="H16" s="61">
        <f t="shared" si="1"/>
        <v>12</v>
      </c>
    </row>
  </sheetData>
  <mergeCells count="2">
    <mergeCell ref="A1:H1"/>
    <mergeCell ref="A2:H3"/>
  </mergeCells>
  <printOptions horizontalCentered="1"/>
  <pageMargins left="0.15" right="0.15" top="0.4" bottom="0.4" header="0.511811023622047" footer="0.15"/>
  <pageSetup scale="92" fitToHeight="0" orientation="landscape" r:id="rId1"/>
  <headerFooter>
    <oddFooter>&amp;L&amp;8 &amp;K666666Rifal Azhar Permana — Spotify Music Trend Analytics&amp;R&amp;8 &amp;K666666Page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
  <sheetViews>
    <sheetView showGridLines="0" tabSelected="1" zoomScaleNormal="100" workbookViewId="0">
      <selection activeCell="I7" sqref="I7:L7"/>
    </sheetView>
  </sheetViews>
  <sheetFormatPr defaultColWidth="8.6640625" defaultRowHeight="14.4" x14ac:dyDescent="0.3"/>
  <cols>
    <col min="1" max="1" width="21.88671875" bestFit="1" customWidth="1"/>
    <col min="2" max="2" width="12.109375" bestFit="1" customWidth="1"/>
    <col min="3" max="3" width="22" customWidth="1"/>
    <col min="4" max="4" width="15.44140625" customWidth="1"/>
    <col min="5" max="5" width="17.44140625" customWidth="1"/>
    <col min="6" max="6" width="7.5546875" customWidth="1"/>
  </cols>
  <sheetData>
    <row r="1" spans="1:9" ht="27.75" customHeight="1" x14ac:dyDescent="0.3">
      <c r="A1" s="67" t="s">
        <v>316</v>
      </c>
      <c r="B1" s="67"/>
      <c r="C1" s="67"/>
      <c r="D1" s="67"/>
      <c r="E1" s="67"/>
      <c r="F1" s="67"/>
    </row>
    <row r="2" spans="1:9" ht="15" customHeight="1" x14ac:dyDescent="0.3">
      <c r="A2" s="45" t="s">
        <v>317</v>
      </c>
      <c r="B2" s="45"/>
      <c r="C2" s="45"/>
      <c r="D2" s="45"/>
      <c r="E2" s="45"/>
      <c r="F2" s="45"/>
    </row>
    <row r="3" spans="1:9" x14ac:dyDescent="0.3">
      <c r="A3" s="36"/>
      <c r="B3" s="36"/>
      <c r="C3" s="36"/>
      <c r="D3" s="36"/>
      <c r="E3" s="36"/>
      <c r="F3" s="36"/>
    </row>
    <row r="4" spans="1:9" ht="23.25" customHeight="1" thickBot="1" x14ac:dyDescent="0.35">
      <c r="A4" s="58" t="s">
        <v>38</v>
      </c>
      <c r="B4" s="59" t="s">
        <v>318</v>
      </c>
      <c r="C4" s="59" t="s">
        <v>64</v>
      </c>
      <c r="D4" s="59" t="s">
        <v>314</v>
      </c>
      <c r="E4" s="59" t="s">
        <v>319</v>
      </c>
      <c r="F4" s="59" t="s">
        <v>54</v>
      </c>
    </row>
    <row r="5" spans="1:9" ht="15" customHeight="1" x14ac:dyDescent="0.3">
      <c r="A5" s="17" t="s">
        <v>83</v>
      </c>
      <c r="B5" s="17">
        <f>COUNTIF('Raw Data'!$E$5:$E$104,$A5)</f>
        <v>17</v>
      </c>
      <c r="C5" s="18">
        <f>SUMIF('Raw Data'!$E$5:$E$104,$A5,'Raw Data'!$D$5:$D$104)</f>
        <v>29.2</v>
      </c>
      <c r="D5" s="21">
        <f>AVERAGEIF('Raw Data'!$E$5:$E$104,$A5,'Raw Data'!$F$5:$F$104)</f>
        <v>105.17647058823529</v>
      </c>
      <c r="E5" s="22">
        <f>C5/SUM('Raw Data'!$D$5:$D$104)</f>
        <v>0.17757236682072494</v>
      </c>
      <c r="F5" s="37">
        <f t="shared" ref="F5:F12" si="0">RANK(C5,$C$5:$C$12)</f>
        <v>1</v>
      </c>
    </row>
    <row r="6" spans="1:9" ht="15" customHeight="1" x14ac:dyDescent="0.3">
      <c r="A6" s="19" t="s">
        <v>113</v>
      </c>
      <c r="B6" s="19">
        <f>COUNTIF('Raw Data'!$E$5:$E$104,$A6)</f>
        <v>12</v>
      </c>
      <c r="C6" s="20">
        <f>SUMIF('Raw Data'!$E$5:$E$104,$A6,'Raw Data'!$D$5:$D$104)</f>
        <v>19.52</v>
      </c>
      <c r="D6" s="23">
        <f>AVERAGEIF('Raw Data'!$E$5:$E$104,$A6,'Raw Data'!$F$5:$F$104)</f>
        <v>109.25</v>
      </c>
      <c r="E6" s="24">
        <f>C6/SUM('Raw Data'!$D$5:$D$104)</f>
        <v>0.11870591097056681</v>
      </c>
      <c r="F6" s="38">
        <f t="shared" si="0"/>
        <v>2</v>
      </c>
    </row>
    <row r="7" spans="1:9" ht="15" customHeight="1" x14ac:dyDescent="0.3">
      <c r="A7" s="17" t="s">
        <v>97</v>
      </c>
      <c r="B7" s="17">
        <f>COUNTIF('Raw Data'!$E$5:$E$104,$A7)</f>
        <v>7</v>
      </c>
      <c r="C7" s="18">
        <f>SUMIF('Raw Data'!$E$5:$E$104,$A7,'Raw Data'!$D$5:$D$104)</f>
        <v>11.530000000000001</v>
      </c>
      <c r="D7" s="21">
        <f>AVERAGEIF('Raw Data'!$E$5:$E$104,$A7,'Raw Data'!$F$5:$F$104)</f>
        <v>120.28571428571429</v>
      </c>
      <c r="E7" s="22">
        <f>C7/SUM('Raw Data'!$D$5:$D$104)</f>
        <v>7.0116759912430104E-2</v>
      </c>
      <c r="F7" s="37">
        <f t="shared" si="0"/>
        <v>3</v>
      </c>
      <c r="I7" t="str">
        <f>TEXT(Dashboard!G17,"0.0")&amp;" Miliar"</f>
        <v>164 Miliar</v>
      </c>
    </row>
    <row r="8" spans="1:9" ht="15" customHeight="1" x14ac:dyDescent="0.3">
      <c r="A8" s="19" t="s">
        <v>74</v>
      </c>
      <c r="B8" s="19">
        <f>COUNTIF('Raw Data'!$E$5:$E$104,$A8)</f>
        <v>6</v>
      </c>
      <c r="C8" s="20">
        <f>SUMIF('Raw Data'!$E$5:$E$104,$A8,'Raw Data'!$D$5:$D$104)</f>
        <v>11.34</v>
      </c>
      <c r="D8" s="23">
        <f>AVERAGEIF('Raw Data'!$E$5:$E$104,$A8,'Raw Data'!$F$5:$F$104)</f>
        <v>157</v>
      </c>
      <c r="E8" s="24">
        <f>C8/SUM('Raw Data'!$D$5:$D$104)</f>
        <v>6.8961323279007558E-2</v>
      </c>
      <c r="F8" s="38">
        <f t="shared" si="0"/>
        <v>4</v>
      </c>
    </row>
    <row r="9" spans="1:9" ht="15" customHeight="1" x14ac:dyDescent="0.3">
      <c r="A9" s="17" t="s">
        <v>100</v>
      </c>
      <c r="B9" s="17">
        <f>COUNTIF('Raw Data'!$E$5:$E$104,$A9)</f>
        <v>7</v>
      </c>
      <c r="C9" s="18">
        <f>SUMIF('Raw Data'!$E$5:$E$104,$A9,'Raw Data'!$D$5:$D$104)</f>
        <v>11.25</v>
      </c>
      <c r="D9" s="21">
        <f>AVERAGEIF('Raw Data'!$E$5:$E$104,$A9,'Raw Data'!$F$5:$F$104)</f>
        <v>135.14285714285714</v>
      </c>
      <c r="E9" s="22">
        <f>C9/SUM('Raw Data'!$D$5:$D$104)</f>
        <v>6.8414011189491628E-2</v>
      </c>
      <c r="F9" s="37">
        <f t="shared" si="0"/>
        <v>5</v>
      </c>
    </row>
    <row r="10" spans="1:9" ht="15" customHeight="1" x14ac:dyDescent="0.3">
      <c r="A10" s="19" t="s">
        <v>143</v>
      </c>
      <c r="B10" s="19">
        <f>COUNTIF('Raw Data'!$E$5:$E$104,$A10)</f>
        <v>6</v>
      </c>
      <c r="C10" s="20">
        <f>SUMIF('Raw Data'!$E$5:$E$104,$A10,'Raw Data'!$D$5:$D$104)</f>
        <v>7.68</v>
      </c>
      <c r="D10" s="23">
        <f>AVERAGEIF('Raw Data'!$E$5:$E$104,$A10,'Raw Data'!$F$5:$F$104)</f>
        <v>118.16666666666667</v>
      </c>
      <c r="E10" s="24">
        <f>C10/SUM('Raw Data'!$D$5:$D$104)</f>
        <v>4.6703964972026286E-2</v>
      </c>
      <c r="F10" s="38">
        <f t="shared" si="0"/>
        <v>6</v>
      </c>
    </row>
    <row r="11" spans="1:9" ht="15" customHeight="1" x14ac:dyDescent="0.3">
      <c r="A11" s="17" t="s">
        <v>105</v>
      </c>
      <c r="B11" s="17">
        <f>COUNTIF('Raw Data'!$E$5:$E$104,$A11)</f>
        <v>4</v>
      </c>
      <c r="C11" s="18">
        <f>SUMIF('Raw Data'!$E$5:$E$104,$A11,'Raw Data'!$D$5:$D$104)</f>
        <v>7.1400000000000006</v>
      </c>
      <c r="D11" s="21">
        <f>AVERAGEIF('Raw Data'!$E$5:$E$104,$A11,'Raw Data'!$F$5:$F$104)</f>
        <v>110.25</v>
      </c>
      <c r="E11" s="22">
        <f>C11/SUM('Raw Data'!$D$5:$D$104)</f>
        <v>4.3420092434930696E-2</v>
      </c>
      <c r="F11" s="37">
        <f t="shared" si="0"/>
        <v>7</v>
      </c>
    </row>
    <row r="12" spans="1:9" ht="15" customHeight="1" x14ac:dyDescent="0.3">
      <c r="A12" s="19" t="s">
        <v>90</v>
      </c>
      <c r="B12" s="19">
        <f>COUNTIF('Raw Data'!$E$5:$E$104,$A12)</f>
        <v>2</v>
      </c>
      <c r="C12" s="20">
        <f>SUMIF('Raw Data'!$E$5:$E$104,$A12,'Raw Data'!$D$5:$D$104)</f>
        <v>4.54</v>
      </c>
      <c r="D12" s="23">
        <f>AVERAGEIF('Raw Data'!$E$5:$E$104,$A12,'Raw Data'!$F$5:$F$104)</f>
        <v>103</v>
      </c>
      <c r="E12" s="24">
        <f>C12/SUM('Raw Data'!$D$5:$D$104)</f>
        <v>2.760885429335929E-2</v>
      </c>
      <c r="F12" s="38">
        <f t="shared" si="0"/>
        <v>8</v>
      </c>
    </row>
    <row r="13" spans="1:9" ht="15" customHeight="1" x14ac:dyDescent="0.3">
      <c r="A13" s="62" t="s">
        <v>320</v>
      </c>
      <c r="B13" s="62">
        <f>COUNTA('Raw Data'!$E$5:$E$104)-SUM(B5:B12)</f>
        <v>39</v>
      </c>
      <c r="C13" s="63">
        <f>SUM('Raw Data'!$D$5:$D$104)-SUM(C5:C12)</f>
        <v>62.239999999999924</v>
      </c>
      <c r="D13" s="64">
        <f>IFERROR((SUM('Raw Data'!$F$5:$F$104)-SUMPRODUCT($B$5:$B$12,$D$5:$D$12))/B13,0)</f>
        <v>112.64102564102564</v>
      </c>
      <c r="E13" s="65">
        <f>C13/SUM('Raw Data'!$D$5:$D$104)</f>
        <v>0.37849671612746255</v>
      </c>
      <c r="F13" s="66" t="s">
        <v>377</v>
      </c>
    </row>
  </sheetData>
  <mergeCells count="2">
    <mergeCell ref="A1:F1"/>
    <mergeCell ref="A2:F3"/>
  </mergeCells>
  <printOptions horizontalCentered="1"/>
  <pageMargins left="0.15" right="0.15" top="0.4" bottom="0.4" header="0.511811023622047" footer="0.15"/>
  <pageSetup fitToHeight="0" orientation="landscape" r:id="rId1"/>
  <headerFooter>
    <oddFooter>&amp;L&amp;8 &amp;K666666Rifal Azhar Permana — Spotify Music Trend Analytics&amp;R&amp;8 &amp;K666666Page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24"/>
  <sheetViews>
    <sheetView showGridLines="0" tabSelected="1" zoomScaleNormal="100" workbookViewId="0">
      <selection activeCell="I7" sqref="I7:L7"/>
    </sheetView>
  </sheetViews>
  <sheetFormatPr defaultColWidth="8.6640625" defaultRowHeight="14.4" x14ac:dyDescent="0.3"/>
  <cols>
    <col min="1" max="1" width="17.33203125" customWidth="1"/>
    <col min="2" max="2" width="12.109375" bestFit="1" customWidth="1"/>
    <col min="3" max="3" width="25.44140625" customWidth="1"/>
    <col min="4" max="4" width="21.44140625" customWidth="1"/>
    <col min="5" max="5" width="16" bestFit="1" customWidth="1"/>
    <col min="6" max="6" width="16" customWidth="1"/>
  </cols>
  <sheetData>
    <row r="1" spans="1:9" ht="27.75" customHeight="1" thickBot="1" x14ac:dyDescent="0.35">
      <c r="A1" s="60" t="s">
        <v>321</v>
      </c>
      <c r="B1" s="60"/>
      <c r="C1" s="60"/>
      <c r="D1" s="60"/>
      <c r="E1" s="60"/>
      <c r="F1" s="34"/>
    </row>
    <row r="2" spans="1:9" ht="15" customHeight="1" thickTop="1" x14ac:dyDescent="0.3">
      <c r="A2" s="45" t="s">
        <v>322</v>
      </c>
      <c r="B2" s="45"/>
      <c r="C2" s="45"/>
      <c r="D2" s="45"/>
      <c r="E2" s="45"/>
      <c r="F2" s="35"/>
    </row>
    <row r="3" spans="1:9" x14ac:dyDescent="0.3">
      <c r="A3" s="36"/>
      <c r="B3" s="36"/>
      <c r="C3" s="36"/>
      <c r="D3" s="36"/>
      <c r="E3" s="36"/>
      <c r="F3" s="35"/>
    </row>
    <row r="4" spans="1:9" ht="15" customHeight="1" thickBot="1" x14ac:dyDescent="0.35">
      <c r="A4" s="78" t="s">
        <v>323</v>
      </c>
      <c r="B4" s="78"/>
      <c r="C4" s="78"/>
      <c r="D4" s="78"/>
      <c r="E4" s="78"/>
    </row>
    <row r="5" spans="1:9" x14ac:dyDescent="0.3">
      <c r="A5" s="104" t="s">
        <v>324</v>
      </c>
      <c r="B5" s="105" t="s">
        <v>318</v>
      </c>
      <c r="C5" s="105" t="s">
        <v>325</v>
      </c>
      <c r="D5" s="105" t="s">
        <v>64</v>
      </c>
      <c r="E5" s="105" t="s">
        <v>326</v>
      </c>
    </row>
    <row r="6" spans="1:9" ht="15" customHeight="1" x14ac:dyDescent="0.3">
      <c r="A6" s="68" t="s">
        <v>327</v>
      </c>
      <c r="B6" s="69">
        <f>COUNTIFS('Raw Data'!$F$5:$F$104,"&gt;="&amp;0,'Raw Data'!$F$5:$F$104,"&lt;"&amp;90)</f>
        <v>18</v>
      </c>
      <c r="C6" s="70">
        <f>IFERROR(AVERAGEIFS('Raw Data'!$D$5:$D$104,'Raw Data'!$F$5:$F$104,"&gt;="&amp;0,'Raw Data'!$F$5:$F$104,"&lt;"&amp;90),0)</f>
        <v>1.5361111111111112</v>
      </c>
      <c r="D6" s="70">
        <f>IFERROR(SUMIFS('Raw Data'!$D$5:$D$104,'Raw Data'!$F$5:$F$104,"&gt;="&amp;0,'Raw Data'!$F$5:$F$104,"&lt;"&amp;90),0)</f>
        <v>27.650000000000002</v>
      </c>
      <c r="E6" s="71">
        <f>B6/COUNTA('Raw Data'!$B$5:$B$104)</f>
        <v>0.18</v>
      </c>
    </row>
    <row r="7" spans="1:9" ht="15" customHeight="1" x14ac:dyDescent="0.3">
      <c r="A7" s="72" t="s">
        <v>328</v>
      </c>
      <c r="B7" s="73">
        <f>COUNTIFS('Raw Data'!$F$5:$F$104,"&gt;="&amp;90,'Raw Data'!$F$5:$F$104,"&lt;"&amp;110)</f>
        <v>34</v>
      </c>
      <c r="C7" s="74">
        <f>IFERROR(AVERAGEIFS('Raw Data'!$D$5:$D$104,'Raw Data'!$F$5:$F$104,"&gt;="&amp;90,'Raw Data'!$F$5:$F$104,"&lt;"&amp;110),0)</f>
        <v>1.7373529411764705</v>
      </c>
      <c r="D7" s="74">
        <f>IFERROR(SUMIFS('Raw Data'!$D$5:$D$104,'Raw Data'!$F$5:$F$104,"&gt;="&amp;90,'Raw Data'!$F$5:$F$104,"&lt;"&amp;110),0)</f>
        <v>59.07</v>
      </c>
      <c r="E7" s="75">
        <f>B7/COUNTA('Raw Data'!$B$5:$B$104)</f>
        <v>0.34</v>
      </c>
      <c r="I7" t="str">
        <f>TEXT(Dashboard!G17,"0.0")&amp;" Miliar"</f>
        <v>164 Miliar</v>
      </c>
    </row>
    <row r="8" spans="1:9" ht="15" customHeight="1" x14ac:dyDescent="0.3">
      <c r="A8" s="68" t="s">
        <v>329</v>
      </c>
      <c r="B8" s="69">
        <f>COUNTIFS('Raw Data'!$F$5:$F$104,"&gt;="&amp;110,'Raw Data'!$F$5:$F$104,"&lt;"&amp;130)</f>
        <v>16</v>
      </c>
      <c r="C8" s="70">
        <f>IFERROR(AVERAGEIFS('Raw Data'!$D$5:$D$104,'Raw Data'!$F$5:$F$104,"&gt;="&amp;110,'Raw Data'!$F$5:$F$104,"&lt;"&amp;130),0)</f>
        <v>1.6518750000000002</v>
      </c>
      <c r="D8" s="70">
        <f>IFERROR(SUMIFS('Raw Data'!$D$5:$D$104,'Raw Data'!$F$5:$F$104,"&gt;="&amp;110,'Raw Data'!$F$5:$F$104,"&lt;"&amp;130),0)</f>
        <v>26.430000000000003</v>
      </c>
      <c r="E8" s="71">
        <f>B8/COUNTA('Raw Data'!$B$5:$B$104)</f>
        <v>0.16</v>
      </c>
    </row>
    <row r="9" spans="1:9" ht="15" customHeight="1" x14ac:dyDescent="0.3">
      <c r="A9" s="72" t="s">
        <v>330</v>
      </c>
      <c r="B9" s="73">
        <f>COUNTIFS('Raw Data'!$F$5:$F$104,"&gt;="&amp;130,'Raw Data'!$F$5:$F$104,"&lt;"&amp;150)</f>
        <v>15</v>
      </c>
      <c r="C9" s="74">
        <f>IFERROR(AVERAGEIFS('Raw Data'!$D$5:$D$104,'Raw Data'!$F$5:$F$104,"&gt;="&amp;130,'Raw Data'!$F$5:$F$104,"&lt;"&amp;150),0)</f>
        <v>1.4686666666666668</v>
      </c>
      <c r="D9" s="74">
        <f>IFERROR(SUMIFS('Raw Data'!$D$5:$D$104,'Raw Data'!$F$5:$F$104,"&gt;="&amp;130,'Raw Data'!$F$5:$F$104,"&lt;"&amp;150),0)</f>
        <v>22.03</v>
      </c>
      <c r="E9" s="75">
        <f>B9/COUNTA('Raw Data'!$B$5:$B$104)</f>
        <v>0.15</v>
      </c>
    </row>
    <row r="10" spans="1:9" ht="15" customHeight="1" x14ac:dyDescent="0.3">
      <c r="A10" s="76" t="s">
        <v>331</v>
      </c>
      <c r="B10" s="62">
        <f>COUNTIFS('Raw Data'!$F$5:$F$104,"&gt;="&amp;150,'Raw Data'!$F$5:$F$104,"&lt;"&amp;999)</f>
        <v>17</v>
      </c>
      <c r="C10" s="63">
        <f>IFERROR(AVERAGEIFS('Raw Data'!$D$5:$D$104,'Raw Data'!$F$5:$F$104,"&gt;="&amp;150,'Raw Data'!$F$5:$F$104,"&lt;"&amp;999),0)</f>
        <v>1.7211764705882349</v>
      </c>
      <c r="D10" s="63">
        <f>IFERROR(SUMIFS('Raw Data'!$D$5:$D$104,'Raw Data'!$F$5:$F$104,"&gt;="&amp;150,'Raw Data'!$F$5:$F$104,"&lt;"&amp;999),0)</f>
        <v>29.259999999999994</v>
      </c>
      <c r="E10" s="77">
        <f>B10/COUNTA('Raw Data'!$B$5:$B$104)</f>
        <v>0.17</v>
      </c>
    </row>
    <row r="13" spans="1:9" ht="15" customHeight="1" thickBot="1" x14ac:dyDescent="0.35">
      <c r="A13" s="78" t="s">
        <v>332</v>
      </c>
      <c r="B13" s="78"/>
      <c r="C13" s="78"/>
      <c r="D13" s="78"/>
      <c r="E13" s="78"/>
    </row>
    <row r="14" spans="1:9" x14ac:dyDescent="0.3">
      <c r="A14" s="104" t="s">
        <v>333</v>
      </c>
      <c r="B14" s="105" t="s">
        <v>318</v>
      </c>
      <c r="C14" s="105" t="s">
        <v>325</v>
      </c>
      <c r="D14" s="105" t="s">
        <v>42</v>
      </c>
      <c r="E14" s="105" t="s">
        <v>43</v>
      </c>
    </row>
    <row r="15" spans="1:9" ht="15" customHeight="1" x14ac:dyDescent="0.3">
      <c r="A15" s="19" t="s">
        <v>67</v>
      </c>
      <c r="B15" s="39">
        <f>COUNTIF('Raw Data'!$I$5:$I$104,"Ya")</f>
        <v>13</v>
      </c>
      <c r="C15" s="40">
        <f>AVERAGEIF('Raw Data'!$I$5:$I$104,"Ya",'Raw Data'!$D$5:$D$104)</f>
        <v>1.7115384615384619</v>
      </c>
      <c r="D15" s="40">
        <f>AVERAGEIF('Raw Data'!$I$5:$I$104,"Ya",'Raw Data'!$J$5:$J$104)</f>
        <v>0.62</v>
      </c>
      <c r="E15" s="40">
        <f>AVERAGEIF('Raw Data'!$I$5:$I$104,"Ya",'Raw Data'!$K$5:$K$104)</f>
        <v>0.61999999999999988</v>
      </c>
    </row>
    <row r="16" spans="1:9" ht="15" customHeight="1" x14ac:dyDescent="0.3">
      <c r="A16" s="53" t="s">
        <v>334</v>
      </c>
      <c r="B16" s="54">
        <f>COUNTIF('Raw Data'!$I$5:$I$104,"Tidak")</f>
        <v>86</v>
      </c>
      <c r="C16" s="79">
        <f>AVERAGEIF('Raw Data'!$I$5:$I$104,"Tidak",'Raw Data'!$D$5:$D$104)</f>
        <v>1.6248837209302316</v>
      </c>
      <c r="D16" s="79">
        <f>AVERAGEIF('Raw Data'!$I$5:$I$104,"Tidak",'Raw Data'!$J$5:$J$104)</f>
        <v>0.5331395348837209</v>
      </c>
      <c r="E16" s="79">
        <f>AVERAGEIF('Raw Data'!$I$5:$I$104,"Tidak",'Raw Data'!$K$5:$K$104)</f>
        <v>0.54546511627906935</v>
      </c>
    </row>
    <row r="19" spans="1:5" ht="15" customHeight="1" thickBot="1" x14ac:dyDescent="0.35">
      <c r="A19" s="78" t="s">
        <v>335</v>
      </c>
      <c r="B19" s="78"/>
      <c r="C19" s="78"/>
      <c r="D19" s="78"/>
      <c r="E19" s="78"/>
    </row>
    <row r="20" spans="1:5" ht="15" customHeight="1" x14ac:dyDescent="0.3">
      <c r="A20" s="106" t="s">
        <v>336</v>
      </c>
      <c r="B20" s="107" t="s">
        <v>337</v>
      </c>
      <c r="C20" s="107" t="s">
        <v>338</v>
      </c>
      <c r="D20" s="108" t="s">
        <v>339</v>
      </c>
      <c r="E20" s="108"/>
    </row>
    <row r="21" spans="1:5" ht="15" customHeight="1" x14ac:dyDescent="0.3">
      <c r="A21" s="19" t="s">
        <v>68</v>
      </c>
      <c r="B21" s="40">
        <f>AVERAGE('Raw Data'!$J$5:$J$104)</f>
        <v>0.53969999999999996</v>
      </c>
      <c r="C21" s="40">
        <f>MIN('Raw Data'!$J$5:$J$104)</f>
        <v>0.03</v>
      </c>
      <c r="D21" s="41">
        <f>MAX('Raw Data'!$J$5:$J$104)</f>
        <v>0.86</v>
      </c>
      <c r="E21" s="41"/>
    </row>
    <row r="22" spans="1:5" ht="15" customHeight="1" x14ac:dyDescent="0.3">
      <c r="A22" s="19" t="s">
        <v>69</v>
      </c>
      <c r="B22" s="40">
        <f>AVERAGE('Raw Data'!$K$5:$K$104)</f>
        <v>0.55419999999999958</v>
      </c>
      <c r="C22" s="40">
        <f>MIN('Raw Data'!$K$5:$K$104)</f>
        <v>0.03</v>
      </c>
      <c r="D22" s="41">
        <f>MAX('Raw Data'!$K$5:$K$104)</f>
        <v>0.96</v>
      </c>
      <c r="E22" s="41"/>
    </row>
    <row r="23" spans="1:5" ht="15" customHeight="1" x14ac:dyDescent="0.3">
      <c r="A23" s="19" t="s">
        <v>70</v>
      </c>
      <c r="B23" s="40">
        <f>AVERAGE('Raw Data'!$L$5:$L$104)</f>
        <v>0.50469999999999982</v>
      </c>
      <c r="C23" s="40">
        <f>MIN('Raw Data'!$L$5:$L$104)</f>
        <v>0.01</v>
      </c>
      <c r="D23" s="41">
        <f>MAX('Raw Data'!$L$5:$L$104)</f>
        <v>0.96</v>
      </c>
      <c r="E23" s="41"/>
    </row>
    <row r="24" spans="1:5" ht="15" customHeight="1" x14ac:dyDescent="0.3">
      <c r="A24" s="80" t="s">
        <v>71</v>
      </c>
      <c r="B24" s="81">
        <f>AVERAGE('Raw Data'!$M$5:$M$104)</f>
        <v>0.13089999999999993</v>
      </c>
      <c r="C24" s="81">
        <f>MIN('Raw Data'!$M$5:$M$104)</f>
        <v>0</v>
      </c>
      <c r="D24" s="82">
        <f>MAX('Raw Data'!$M$5:$M$104)</f>
        <v>0.76</v>
      </c>
      <c r="E24" s="82"/>
    </row>
  </sheetData>
  <mergeCells count="10">
    <mergeCell ref="D20:E20"/>
    <mergeCell ref="D21:E21"/>
    <mergeCell ref="D22:E22"/>
    <mergeCell ref="D23:E23"/>
    <mergeCell ref="D24:E24"/>
    <mergeCell ref="A4:E4"/>
    <mergeCell ref="A13:E13"/>
    <mergeCell ref="A19:E19"/>
    <mergeCell ref="A1:E1"/>
    <mergeCell ref="A2:E3"/>
  </mergeCells>
  <printOptions horizontalCentered="1"/>
  <pageMargins left="0.15" right="0.15" top="0.4" bottom="0.4" header="0.511811023622047" footer="0.15"/>
  <pageSetup fitToHeight="0" orientation="landscape" r:id="rId1"/>
  <headerFooter>
    <oddFooter>&amp;L&amp;8 &amp;K666666Rifal Azhar Permana — Spotify Music Trend Analytics&amp;R&amp;8 &amp;K666666Page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9"/>
  <sheetViews>
    <sheetView showGridLines="0" tabSelected="1" zoomScaleNormal="100" workbookViewId="0">
      <selection activeCell="I7" sqref="I7:L7"/>
    </sheetView>
  </sheetViews>
  <sheetFormatPr defaultColWidth="8.6640625" defaultRowHeight="14.4" x14ac:dyDescent="0.3"/>
  <cols>
    <col min="1" max="1" width="7.6640625" bestFit="1" customWidth="1"/>
    <col min="2" max="2" width="12.109375" bestFit="1" customWidth="1"/>
    <col min="3" max="3" width="19.77734375" bestFit="1" customWidth="1"/>
    <col min="4" max="4" width="28.6640625" bestFit="1" customWidth="1"/>
    <col min="5" max="5" width="15" bestFit="1" customWidth="1"/>
  </cols>
  <sheetData>
    <row r="1" spans="1:9" ht="27.75" customHeight="1" thickBot="1" x14ac:dyDescent="0.35">
      <c r="A1" s="60" t="s">
        <v>340</v>
      </c>
      <c r="B1" s="60"/>
      <c r="C1" s="60"/>
      <c r="D1" s="60"/>
      <c r="E1" s="60"/>
    </row>
    <row r="2" spans="1:9" ht="15" customHeight="1" thickTop="1" x14ac:dyDescent="0.3">
      <c r="A2" s="45" t="s">
        <v>341</v>
      </c>
      <c r="B2" s="45"/>
      <c r="C2" s="45"/>
      <c r="D2" s="45"/>
      <c r="E2" s="45"/>
    </row>
    <row r="3" spans="1:9" x14ac:dyDescent="0.3">
      <c r="A3" s="45"/>
      <c r="B3" s="45"/>
      <c r="C3" s="45"/>
      <c r="D3" s="45"/>
      <c r="E3" s="45"/>
    </row>
    <row r="4" spans="1:9" s="44" customFormat="1" ht="23.25" customHeight="1" thickBot="1" x14ac:dyDescent="0.35">
      <c r="A4" s="58" t="s">
        <v>342</v>
      </c>
      <c r="B4" s="83" t="s">
        <v>318</v>
      </c>
      <c r="C4" s="83" t="s">
        <v>64</v>
      </c>
      <c r="D4" s="83" t="s">
        <v>313</v>
      </c>
      <c r="E4" s="83" t="s">
        <v>319</v>
      </c>
    </row>
    <row r="5" spans="1:9" ht="15" customHeight="1" x14ac:dyDescent="0.3">
      <c r="A5" s="17" t="s">
        <v>343</v>
      </c>
      <c r="B5" s="17">
        <f>COUNTIFS('Raw Data'!$G$5:$G$104,"&gt;="&amp;1980,'Raw Data'!$G$5:$G$104,"&lt;"&amp;1990)</f>
        <v>1</v>
      </c>
      <c r="C5" s="18">
        <f>SUMIFS('Raw Data'!$D$5:$D$104,'Raw Data'!$G$5:$G$104,"&gt;="&amp;1980,'Raw Data'!$G$5:$G$104,"&lt;"&amp;1990)</f>
        <v>1.1200000000000001</v>
      </c>
      <c r="D5" s="18">
        <f>IFERROR(C5/B5,0)</f>
        <v>1.1200000000000001</v>
      </c>
      <c r="E5" s="42">
        <f>B5/COUNTA('Raw Data'!$B$5:$B$104)</f>
        <v>0.01</v>
      </c>
    </row>
    <row r="6" spans="1:9" ht="15" customHeight="1" x14ac:dyDescent="0.3">
      <c r="A6" s="19" t="s">
        <v>344</v>
      </c>
      <c r="B6" s="19">
        <f>COUNTIFS('Raw Data'!$G$5:$G$104,"&gt;="&amp;1990,'Raw Data'!$G$5:$G$104,"&lt;"&amp;2000)</f>
        <v>4</v>
      </c>
      <c r="C6" s="20">
        <f>SUMIFS('Raw Data'!$D$5:$D$104,'Raw Data'!$G$5:$G$104,"&gt;="&amp;1990,'Raw Data'!$G$5:$G$104,"&lt;"&amp;2000)</f>
        <v>5.0199999999999996</v>
      </c>
      <c r="D6" s="20">
        <f>IFERROR(C6/B6,0)</f>
        <v>1.2549999999999999</v>
      </c>
      <c r="E6" s="43">
        <f>B6/COUNTA('Raw Data'!$B$5:$B$104)</f>
        <v>0.04</v>
      </c>
    </row>
    <row r="7" spans="1:9" ht="15" customHeight="1" x14ac:dyDescent="0.3">
      <c r="A7" s="17" t="s">
        <v>345</v>
      </c>
      <c r="B7" s="17">
        <f>COUNTIFS('Raw Data'!$G$5:$G$104,"&gt;="&amp;2000,'Raw Data'!$G$5:$G$104,"&lt;"&amp;2010)</f>
        <v>4</v>
      </c>
      <c r="C7" s="18">
        <f>SUMIFS('Raw Data'!$D$5:$D$104,'Raw Data'!$G$5:$G$104,"&gt;="&amp;2000,'Raw Data'!$G$5:$G$104,"&lt;"&amp;2010)</f>
        <v>5.5699999999999994</v>
      </c>
      <c r="D7" s="18">
        <f>IFERROR(C7/B7,0)</f>
        <v>1.3924999999999998</v>
      </c>
      <c r="E7" s="42">
        <f>B7/COUNTA('Raw Data'!$B$5:$B$104)</f>
        <v>0.04</v>
      </c>
      <c r="I7" t="str">
        <f>TEXT(Dashboard!G17,"0.0")&amp;" Miliar"</f>
        <v>164 Miliar</v>
      </c>
    </row>
    <row r="8" spans="1:9" ht="15" customHeight="1" x14ac:dyDescent="0.3">
      <c r="A8" s="19" t="s">
        <v>346</v>
      </c>
      <c r="B8" s="19">
        <f>COUNTIFS('Raw Data'!$G$5:$G$104,"&gt;="&amp;2010,'Raw Data'!$G$5:$G$104,"&lt;"&amp;2020)</f>
        <v>54</v>
      </c>
      <c r="C8" s="20">
        <f>SUMIFS('Raw Data'!$D$5:$D$104,'Raw Data'!$G$5:$G$104,"&gt;="&amp;2010,'Raw Data'!$G$5:$G$104,"&lt;"&amp;2020)</f>
        <v>98.339999999999975</v>
      </c>
      <c r="D8" s="20">
        <f>IFERROR(C8/B8,0)</f>
        <v>1.8211111111111107</v>
      </c>
      <c r="E8" s="43">
        <f>B8/COUNTA('Raw Data'!$B$5:$B$104)</f>
        <v>0.54</v>
      </c>
    </row>
    <row r="9" spans="1:9" ht="15" customHeight="1" x14ac:dyDescent="0.3">
      <c r="A9" s="62" t="s">
        <v>347</v>
      </c>
      <c r="B9" s="62">
        <f>COUNTIFS('Raw Data'!$G$5:$G$104,"&gt;="&amp;2020,'Raw Data'!$G$5:$G$104,"&lt;"&amp;2030)</f>
        <v>37</v>
      </c>
      <c r="C9" s="63">
        <f>SUMIFS('Raw Data'!$D$5:$D$104,'Raw Data'!$G$5:$G$104,"&gt;="&amp;2020,'Raw Data'!$G$5:$G$104,"&lt;"&amp;2030)</f>
        <v>54.39</v>
      </c>
      <c r="D9" s="63">
        <f>IFERROR(C9/B9,0)</f>
        <v>1.47</v>
      </c>
      <c r="E9" s="77">
        <f>B9/COUNTA('Raw Data'!$B$5:$B$104)</f>
        <v>0.37</v>
      </c>
    </row>
  </sheetData>
  <mergeCells count="2">
    <mergeCell ref="A1:E1"/>
    <mergeCell ref="A2:E3"/>
  </mergeCells>
  <printOptions horizontalCentered="1"/>
  <pageMargins left="0.15" right="0.15" top="0.4" bottom="0.4" header="0.511811023622047" footer="0.15"/>
  <pageSetup fitToHeight="0" orientation="landscape" r:id="rId1"/>
  <headerFooter>
    <oddFooter>&amp;L&amp;8 &amp;K666666Rifal Azhar Permana — Spotify Music Trend Analytics&amp;R&amp;8 &amp;K666666Page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28"/>
  <sheetViews>
    <sheetView showGridLines="0" tabSelected="1" zoomScale="70" zoomScaleNormal="70" workbookViewId="0">
      <selection activeCell="I7" sqref="I7:L7"/>
    </sheetView>
  </sheetViews>
  <sheetFormatPr defaultColWidth="8.6640625" defaultRowHeight="14.4" x14ac:dyDescent="0.3"/>
  <cols>
    <col min="1" max="1" width="29" bestFit="1" customWidth="1"/>
    <col min="2" max="2" width="18.6640625" customWidth="1"/>
    <col min="3" max="5" width="2.6640625" customWidth="1"/>
    <col min="6" max="6" width="42.33203125" bestFit="1" customWidth="1"/>
    <col min="7" max="7" width="21.44140625" customWidth="1"/>
    <col min="8" max="8" width="3.77734375" customWidth="1"/>
  </cols>
  <sheetData>
    <row r="1" spans="1:9" ht="27.75" customHeight="1" x14ac:dyDescent="0.3">
      <c r="A1" s="67" t="s">
        <v>348</v>
      </c>
      <c r="B1" s="67"/>
      <c r="C1" s="67"/>
      <c r="D1" s="67"/>
      <c r="E1" s="67"/>
      <c r="F1" s="67"/>
      <c r="G1" s="67"/>
      <c r="H1" s="67"/>
    </row>
    <row r="2" spans="1:9" ht="15" customHeight="1" x14ac:dyDescent="0.3">
      <c r="A2" s="45" t="s">
        <v>349</v>
      </c>
      <c r="B2" s="45"/>
      <c r="C2" s="45"/>
      <c r="D2" s="45"/>
      <c r="E2" s="45"/>
      <c r="F2" s="45"/>
      <c r="G2" s="45"/>
      <c r="H2" s="45"/>
    </row>
    <row r="3" spans="1:9" x14ac:dyDescent="0.3">
      <c r="A3" s="36"/>
      <c r="B3" s="36"/>
      <c r="C3" s="36"/>
      <c r="D3" s="36"/>
      <c r="E3" s="36"/>
      <c r="F3" s="36"/>
      <c r="G3" s="36"/>
      <c r="H3" s="36"/>
    </row>
    <row r="4" spans="1:9" ht="15" customHeight="1" x14ac:dyDescent="0.3">
      <c r="A4" s="84" t="s">
        <v>350</v>
      </c>
      <c r="B4" s="84"/>
      <c r="C4" s="84"/>
      <c r="D4" s="84"/>
      <c r="F4" s="84" t="s">
        <v>351</v>
      </c>
      <c r="G4" s="84"/>
      <c r="H4" s="84"/>
    </row>
    <row r="5" spans="1:9" ht="15" customHeight="1" x14ac:dyDescent="0.3">
      <c r="A5" s="98" t="s">
        <v>336</v>
      </c>
      <c r="B5" s="99" t="s">
        <v>352</v>
      </c>
      <c r="C5" s="99"/>
      <c r="D5" s="99"/>
      <c r="F5" s="98" t="s">
        <v>353</v>
      </c>
      <c r="G5" s="99" t="s">
        <v>352</v>
      </c>
      <c r="H5" s="99"/>
    </row>
    <row r="6" spans="1:9" ht="15" customHeight="1" x14ac:dyDescent="0.3">
      <c r="A6" s="19" t="s">
        <v>354</v>
      </c>
      <c r="B6" s="48">
        <f>COUNTA('Raw Data'!B5:B104)</f>
        <v>100</v>
      </c>
      <c r="C6" s="48"/>
      <c r="D6" s="48"/>
      <c r="F6" s="19" t="s">
        <v>355</v>
      </c>
      <c r="G6" s="51" t="str">
        <f>'Artist Analysis'!A5</f>
        <v>Ed Sheeran</v>
      </c>
      <c r="H6" s="51"/>
    </row>
    <row r="7" spans="1:9" ht="15" customHeight="1" x14ac:dyDescent="0.3">
      <c r="A7" s="19" t="s">
        <v>356</v>
      </c>
      <c r="B7" s="48">
        <f>Dashboard!D17</f>
        <v>80.000000000000014</v>
      </c>
      <c r="C7" s="48"/>
      <c r="D7" s="48"/>
      <c r="F7" s="19" t="s">
        <v>357</v>
      </c>
      <c r="G7" s="51" t="str">
        <f>'Genre Analysis'!A5</f>
        <v>Pop</v>
      </c>
      <c r="H7" s="51"/>
      <c r="I7" t="str">
        <f>TEXT(Dashboard!G17,"0.0")&amp;" Miliar"</f>
        <v>164 Miliar</v>
      </c>
    </row>
    <row r="8" spans="1:9" ht="15" customHeight="1" x14ac:dyDescent="0.3">
      <c r="A8" s="19" t="s">
        <v>64</v>
      </c>
      <c r="B8" s="41">
        <f>SUM('Raw Data'!D5:D104)</f>
        <v>164.43999999999994</v>
      </c>
      <c r="C8" s="41"/>
      <c r="D8" s="41"/>
      <c r="F8" s="19" t="s">
        <v>358</v>
      </c>
      <c r="G8" s="51" t="str">
        <f>INDEX('Raw Data'!B5:B104,MATCH(MAX('Raw Data'!D5:D104),'Raw Data'!D5:D104,0))</f>
        <v>Blinding Lights</v>
      </c>
      <c r="H8" s="51"/>
    </row>
    <row r="9" spans="1:9" ht="15" customHeight="1" x14ac:dyDescent="0.3">
      <c r="A9" s="19" t="s">
        <v>313</v>
      </c>
      <c r="B9" s="41">
        <f>AVERAGE('Raw Data'!D5:D104)</f>
        <v>1.6443999999999994</v>
      </c>
      <c r="C9" s="41"/>
      <c r="D9" s="41"/>
      <c r="F9" s="100" t="s">
        <v>359</v>
      </c>
      <c r="G9" s="101" t="s">
        <v>360</v>
      </c>
      <c r="H9" s="101"/>
    </row>
    <row r="10" spans="1:9" ht="15" customHeight="1" x14ac:dyDescent="0.3">
      <c r="A10" s="19" t="s">
        <v>314</v>
      </c>
      <c r="B10" s="49">
        <f>AVERAGE('Raw Data'!F5:F104)</f>
        <v>115.78</v>
      </c>
      <c r="C10" s="49"/>
      <c r="D10" s="49"/>
    </row>
    <row r="11" spans="1:9" ht="15" customHeight="1" x14ac:dyDescent="0.3">
      <c r="A11" s="85" t="s">
        <v>361</v>
      </c>
      <c r="B11" s="86" t="str">
        <f>"1985 - 2024"</f>
        <v>1985 - 2024</v>
      </c>
      <c r="C11" s="86"/>
      <c r="D11" s="86"/>
    </row>
    <row r="13" spans="1:9" ht="15" customHeight="1" x14ac:dyDescent="0.3">
      <c r="A13" s="87" t="s">
        <v>362</v>
      </c>
      <c r="B13" s="87"/>
      <c r="C13" s="87"/>
      <c r="D13" s="87"/>
      <c r="E13" s="87"/>
      <c r="F13" s="87"/>
      <c r="G13" s="87"/>
      <c r="H13" s="87"/>
    </row>
    <row r="14" spans="1:9" x14ac:dyDescent="0.3">
      <c r="A14" s="46" t="s">
        <v>372</v>
      </c>
      <c r="B14" s="7"/>
      <c r="C14" s="7"/>
      <c r="D14" s="7"/>
      <c r="E14" s="7"/>
      <c r="F14" s="7"/>
      <c r="G14" s="7"/>
      <c r="H14" s="7"/>
    </row>
    <row r="15" spans="1:9" x14ac:dyDescent="0.3">
      <c r="A15" s="46"/>
      <c r="B15" s="7"/>
      <c r="C15" s="7"/>
      <c r="D15" s="7"/>
      <c r="E15" s="7"/>
      <c r="F15" s="7"/>
      <c r="G15" s="7"/>
      <c r="H15" s="7"/>
    </row>
    <row r="16" spans="1:9" x14ac:dyDescent="0.3">
      <c r="A16" s="7"/>
      <c r="B16" s="7"/>
      <c r="C16" s="7"/>
      <c r="D16" s="7"/>
      <c r="E16" s="7"/>
      <c r="F16" s="7"/>
      <c r="G16" s="7"/>
      <c r="H16" s="7"/>
    </row>
    <row r="17" spans="1:8" ht="14.4" customHeight="1" x14ac:dyDescent="0.3">
      <c r="A17" s="47" t="s">
        <v>373</v>
      </c>
      <c r="B17" s="47"/>
      <c r="C17" s="47"/>
      <c r="D17" s="47"/>
      <c r="E17" s="47"/>
      <c r="F17" s="47"/>
      <c r="G17" s="47"/>
      <c r="H17" s="47"/>
    </row>
    <row r="18" spans="1:8" x14ac:dyDescent="0.3">
      <c r="A18" s="47"/>
      <c r="B18" s="47"/>
      <c r="C18" s="47"/>
      <c r="D18" s="47"/>
      <c r="E18" s="47"/>
      <c r="F18" s="47"/>
      <c r="G18" s="47"/>
      <c r="H18" s="47"/>
    </row>
    <row r="19" spans="1:8" ht="14.4" customHeight="1" x14ac:dyDescent="0.3">
      <c r="A19" s="47" t="s">
        <v>374</v>
      </c>
      <c r="B19" s="47"/>
      <c r="C19" s="47"/>
      <c r="D19" s="47"/>
      <c r="E19" s="47"/>
      <c r="F19" s="47"/>
      <c r="G19" s="47"/>
      <c r="H19" s="47"/>
    </row>
    <row r="20" spans="1:8" x14ac:dyDescent="0.3">
      <c r="A20" s="47"/>
      <c r="B20" s="47"/>
      <c r="C20" s="47"/>
      <c r="D20" s="47"/>
      <c r="E20" s="47"/>
      <c r="F20" s="47"/>
      <c r="G20" s="47"/>
      <c r="H20" s="47"/>
    </row>
    <row r="21" spans="1:8" x14ac:dyDescent="0.3">
      <c r="A21" s="47"/>
      <c r="B21" s="47"/>
      <c r="C21" s="47"/>
      <c r="D21" s="47"/>
      <c r="E21" s="47"/>
      <c r="F21" s="47"/>
      <c r="G21" s="47"/>
      <c r="H21" s="47"/>
    </row>
    <row r="22" spans="1:8" x14ac:dyDescent="0.3">
      <c r="A22" s="46" t="s">
        <v>375</v>
      </c>
      <c r="B22" s="7"/>
      <c r="C22" s="7"/>
      <c r="D22" s="7"/>
      <c r="E22" s="7"/>
      <c r="F22" s="7"/>
      <c r="G22" s="7"/>
      <c r="H22" s="7"/>
    </row>
    <row r="23" spans="1:8" x14ac:dyDescent="0.3">
      <c r="A23" s="7"/>
      <c r="B23" s="7"/>
      <c r="C23" s="7"/>
      <c r="D23" s="7"/>
      <c r="E23" s="7"/>
      <c r="F23" s="7"/>
      <c r="G23" s="7"/>
      <c r="H23" s="7"/>
    </row>
    <row r="24" spans="1:8" ht="14.4" customHeight="1" x14ac:dyDescent="0.3">
      <c r="A24" s="88" t="s">
        <v>376</v>
      </c>
      <c r="B24" s="88"/>
      <c r="C24" s="88"/>
      <c r="D24" s="88"/>
      <c r="E24" s="88"/>
      <c r="F24" s="88"/>
      <c r="G24" s="88"/>
      <c r="H24" s="88"/>
    </row>
    <row r="25" spans="1:8" x14ac:dyDescent="0.3">
      <c r="A25" s="89"/>
      <c r="B25" s="89"/>
      <c r="C25" s="89"/>
      <c r="D25" s="89"/>
      <c r="E25" s="89"/>
      <c r="F25" s="89"/>
      <c r="G25" s="89"/>
      <c r="H25" s="89"/>
    </row>
    <row r="27" spans="1:8" ht="30" customHeight="1" x14ac:dyDescent="0.3"/>
    <row r="28" spans="1:8" ht="30" customHeight="1" x14ac:dyDescent="0.3"/>
  </sheetData>
  <mergeCells count="22">
    <mergeCell ref="G7:H7"/>
    <mergeCell ref="G8:H8"/>
    <mergeCell ref="G9:H9"/>
    <mergeCell ref="A14:H16"/>
    <mergeCell ref="A19:H21"/>
    <mergeCell ref="A22:H23"/>
    <mergeCell ref="A24:H25"/>
    <mergeCell ref="A17:H18"/>
    <mergeCell ref="A1:H1"/>
    <mergeCell ref="A4:D4"/>
    <mergeCell ref="F4:H4"/>
    <mergeCell ref="A13:H13"/>
    <mergeCell ref="A2:H3"/>
    <mergeCell ref="B5:D5"/>
    <mergeCell ref="B6:D6"/>
    <mergeCell ref="B7:D7"/>
    <mergeCell ref="B8:D8"/>
    <mergeCell ref="B9:D9"/>
    <mergeCell ref="B10:D10"/>
    <mergeCell ref="B11:D11"/>
    <mergeCell ref="G5:H5"/>
    <mergeCell ref="G6:H6"/>
  </mergeCells>
  <printOptions horizontalCentered="1"/>
  <pageMargins left="0.15" right="0.15" top="0.4" bottom="0.4" header="0.511811023622047" footer="0.15"/>
  <pageSetup fitToHeight="0" orientation="landscape" r:id="rId1"/>
  <headerFooter>
    <oddFooter>&amp;L&amp;8 &amp;K666666Rifal Azhar Permana — Spotify Music Trend Analytics&amp;R&amp;8 &amp;K666666Page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105"/>
  <sheetViews>
    <sheetView showGridLines="0" tabSelected="1" topLeftCell="B1" zoomScaleNormal="100" workbookViewId="0">
      <selection activeCell="I7" sqref="I7:L7"/>
    </sheetView>
  </sheetViews>
  <sheetFormatPr defaultColWidth="8.6640625" defaultRowHeight="14.4" x14ac:dyDescent="0.3"/>
  <cols>
    <col min="1" max="1" width="21.44140625" bestFit="1" customWidth="1"/>
    <col min="2" max="2" width="13.21875" bestFit="1" customWidth="1"/>
    <col min="3" max="3" width="2" customWidth="1"/>
    <col min="4" max="4" width="20.77734375" bestFit="1" customWidth="1"/>
    <col min="5" max="5" width="13.21875" bestFit="1" customWidth="1"/>
    <col min="6" max="6" width="2" customWidth="1"/>
    <col min="7" max="7" width="7.6640625" bestFit="1" customWidth="1"/>
    <col min="8" max="8" width="17.77734375" bestFit="1" customWidth="1"/>
    <col min="9" max="9" width="2" customWidth="1"/>
    <col min="10" max="10" width="11.6640625" bestFit="1" customWidth="1"/>
    <col min="11" max="11" width="10.6640625" bestFit="1" customWidth="1"/>
    <col min="12" max="12" width="2" customWidth="1"/>
    <col min="13" max="13" width="4.5546875" bestFit="1" customWidth="1"/>
    <col min="14" max="14" width="23.6640625" customWidth="1"/>
  </cols>
  <sheetData>
    <row r="1" spans="1:18" ht="27.75" customHeight="1" x14ac:dyDescent="0.3">
      <c r="A1" s="67" t="s">
        <v>363</v>
      </c>
      <c r="B1" s="67"/>
      <c r="C1" s="67"/>
      <c r="D1" s="67"/>
      <c r="E1" s="67"/>
      <c r="F1" s="67"/>
      <c r="G1" s="67"/>
      <c r="H1" s="67"/>
      <c r="I1" s="67"/>
      <c r="J1" s="67"/>
      <c r="K1" s="67"/>
      <c r="L1" s="67"/>
      <c r="M1" s="67"/>
      <c r="N1" s="67"/>
    </row>
    <row r="2" spans="1:18" ht="15" customHeight="1" x14ac:dyDescent="0.3">
      <c r="A2" s="45" t="s">
        <v>364</v>
      </c>
      <c r="B2" s="45"/>
      <c r="C2" s="45"/>
      <c r="D2" s="45"/>
      <c r="E2" s="45"/>
      <c r="F2" s="45"/>
      <c r="G2" s="45"/>
      <c r="H2" s="45"/>
      <c r="I2" s="45"/>
      <c r="J2" s="45"/>
      <c r="K2" s="45"/>
      <c r="L2" s="45"/>
      <c r="M2" s="45"/>
      <c r="N2" s="45"/>
    </row>
    <row r="3" spans="1:18" x14ac:dyDescent="0.3">
      <c r="A3" s="36"/>
      <c r="B3" s="36"/>
      <c r="C3" s="36"/>
      <c r="D3" s="36"/>
      <c r="E3" s="36"/>
      <c r="F3" s="36"/>
      <c r="G3" s="36"/>
      <c r="H3" s="36"/>
      <c r="I3" s="36"/>
      <c r="J3" s="36"/>
      <c r="K3" s="36"/>
      <c r="L3" s="36"/>
      <c r="M3" s="36"/>
      <c r="N3" s="36"/>
    </row>
    <row r="4" spans="1:18" ht="15" customHeight="1" x14ac:dyDescent="0.3">
      <c r="A4" s="90" t="s">
        <v>365</v>
      </c>
      <c r="B4" s="90"/>
      <c r="C4" s="14"/>
      <c r="D4" s="90" t="s">
        <v>366</v>
      </c>
      <c r="E4" s="90"/>
      <c r="F4" s="14"/>
      <c r="G4" s="90" t="s">
        <v>367</v>
      </c>
      <c r="H4" s="90"/>
      <c r="I4" s="14"/>
      <c r="J4" s="29" t="s">
        <v>368</v>
      </c>
      <c r="K4" s="29"/>
      <c r="L4" s="14"/>
      <c r="M4" s="29" t="s">
        <v>369</v>
      </c>
      <c r="N4" s="29"/>
      <c r="O4" s="97"/>
      <c r="P4" s="96" t="s">
        <v>370</v>
      </c>
      <c r="Q4" s="96"/>
      <c r="R4" s="96"/>
    </row>
    <row r="5" spans="1:18" ht="15" customHeight="1" x14ac:dyDescent="0.3">
      <c r="A5" s="93" t="s">
        <v>56</v>
      </c>
      <c r="B5" s="94" t="s">
        <v>57</v>
      </c>
      <c r="D5" s="93" t="s">
        <v>38</v>
      </c>
      <c r="E5" s="95" t="s">
        <v>57</v>
      </c>
      <c r="G5" s="93" t="s">
        <v>342</v>
      </c>
      <c r="H5" s="93" t="s">
        <v>64</v>
      </c>
      <c r="J5" s="93" t="s">
        <v>324</v>
      </c>
      <c r="K5" s="94" t="s">
        <v>318</v>
      </c>
      <c r="M5" s="94" t="s">
        <v>58</v>
      </c>
      <c r="N5" s="94" t="s">
        <v>57</v>
      </c>
      <c r="P5" t="s">
        <v>68</v>
      </c>
      <c r="Q5">
        <f>ROUND(AVERAGE('Raw Data'!J5:J104)*100,0)</f>
        <v>54</v>
      </c>
      <c r="R5">
        <f>100-Q5</f>
        <v>46</v>
      </c>
    </row>
    <row r="6" spans="1:18" ht="15" customHeight="1" x14ac:dyDescent="0.3">
      <c r="A6" t="str">
        <f>'Artist Analysis'!A5</f>
        <v>Ed Sheeran</v>
      </c>
      <c r="B6" s="25">
        <f>'Artist Analysis'!C5</f>
        <v>9.52</v>
      </c>
      <c r="D6" t="str">
        <f>'Genre Analysis'!A5</f>
        <v>Pop</v>
      </c>
      <c r="E6" s="25">
        <f>'Genre Analysis'!C5</f>
        <v>29.2</v>
      </c>
      <c r="G6" t="str">
        <f>'Year Trend'!A5</f>
        <v>1980-an</v>
      </c>
      <c r="H6" s="25">
        <f>'Year Trend'!C5</f>
        <v>1.1200000000000001</v>
      </c>
      <c r="J6" t="str">
        <f>'Audio Features'!A6</f>
        <v>&lt; 90</v>
      </c>
      <c r="K6">
        <f>'Audio Features'!B6</f>
        <v>18</v>
      </c>
      <c r="M6">
        <f>'Raw Data'!F5</f>
        <v>171</v>
      </c>
      <c r="N6" s="25">
        <f>'Raw Data'!D5</f>
        <v>3.26</v>
      </c>
      <c r="P6" t="s">
        <v>69</v>
      </c>
      <c r="Q6">
        <f>ROUND(AVERAGE('Raw Data'!K5:K104)*100,0)</f>
        <v>55</v>
      </c>
      <c r="R6">
        <f>100-Q6</f>
        <v>45</v>
      </c>
    </row>
    <row r="7" spans="1:18" ht="15" customHeight="1" x14ac:dyDescent="0.3">
      <c r="A7" t="str">
        <f>'Artist Analysis'!A6</f>
        <v>Harry Styles</v>
      </c>
      <c r="B7" s="25">
        <f>'Artist Analysis'!C6</f>
        <v>7.58</v>
      </c>
      <c r="D7" t="str">
        <f>'Genre Analysis'!A6</f>
        <v>Indie Pop</v>
      </c>
      <c r="E7" s="25">
        <f>'Genre Analysis'!C6</f>
        <v>19.52</v>
      </c>
      <c r="G7" t="str">
        <f>'Year Trend'!A6</f>
        <v>1990-an</v>
      </c>
      <c r="H7" s="25">
        <f>'Year Trend'!C6</f>
        <v>5.0199999999999996</v>
      </c>
      <c r="I7" t="str">
        <f>TEXT(Dashboard!G17,"0.0")&amp;" Miliar"</f>
        <v>164 Miliar</v>
      </c>
      <c r="J7" t="str">
        <f>'Audio Features'!A7</f>
        <v>90 - 109</v>
      </c>
      <c r="K7">
        <f>'Audio Features'!B7</f>
        <v>34</v>
      </c>
      <c r="M7">
        <f>'Raw Data'!F6</f>
        <v>96</v>
      </c>
      <c r="N7" s="25">
        <f>'Raw Data'!D6</f>
        <v>2.4900000000000002</v>
      </c>
      <c r="P7" t="s">
        <v>371</v>
      </c>
      <c r="Q7">
        <f>ROUND(COUNTIF('Raw Data'!I5:I104,"Ya")/COUNTA('Raw Data'!I5:I104)*100,0)</f>
        <v>13</v>
      </c>
      <c r="R7">
        <f>100-Q7</f>
        <v>87</v>
      </c>
    </row>
    <row r="8" spans="1:18" ht="15" customHeight="1" x14ac:dyDescent="0.3">
      <c r="A8" t="str">
        <f>'Artist Analysis'!A7</f>
        <v>The Weeknd</v>
      </c>
      <c r="B8" s="25">
        <f>'Artist Analysis'!C7</f>
        <v>7.4</v>
      </c>
      <c r="D8" t="str">
        <f>'Genre Analysis'!A7</f>
        <v>Alt Rock</v>
      </c>
      <c r="E8" s="25">
        <f>'Genre Analysis'!C7</f>
        <v>11.530000000000001</v>
      </c>
      <c r="G8" t="str">
        <f>'Year Trend'!A7</f>
        <v>2000-an</v>
      </c>
      <c r="H8" s="25">
        <f>'Year Trend'!C7</f>
        <v>5.5699999999999994</v>
      </c>
      <c r="J8" t="str">
        <f>'Audio Features'!A8</f>
        <v>110 - 129</v>
      </c>
      <c r="K8">
        <f>'Audio Features'!B8</f>
        <v>16</v>
      </c>
      <c r="M8">
        <f>'Raw Data'!F7</f>
        <v>77</v>
      </c>
      <c r="N8" s="25">
        <f>'Raw Data'!D7</f>
        <v>2.4500000000000002</v>
      </c>
    </row>
    <row r="9" spans="1:18" ht="15" customHeight="1" x14ac:dyDescent="0.3">
      <c r="A9" t="str">
        <f>'Artist Analysis'!A8</f>
        <v>Imagine Dragons</v>
      </c>
      <c r="B9" s="25">
        <f>'Artist Analysis'!C8</f>
        <v>6.19</v>
      </c>
      <c r="D9" t="str">
        <f>'Genre Analysis'!A8</f>
        <v>Synth-Pop</v>
      </c>
      <c r="E9" s="25">
        <f>'Genre Analysis'!C8</f>
        <v>11.34</v>
      </c>
      <c r="G9" t="str">
        <f>'Year Trend'!A8</f>
        <v>2010-an</v>
      </c>
      <c r="H9" s="25">
        <f>'Year Trend'!C8</f>
        <v>98.339999999999975</v>
      </c>
      <c r="J9" t="str">
        <f>'Audio Features'!A9</f>
        <v>130 - 149</v>
      </c>
      <c r="K9">
        <f>'Audio Features'!B9</f>
        <v>15</v>
      </c>
      <c r="M9">
        <f>'Raw Data'!F8</f>
        <v>93</v>
      </c>
      <c r="N9" s="25">
        <f>'Raw Data'!D8</f>
        <v>2.78</v>
      </c>
    </row>
    <row r="10" spans="1:18" ht="15" customHeight="1" x14ac:dyDescent="0.3">
      <c r="A10" t="str">
        <f>'Artist Analysis'!A9</f>
        <v>Taylor Swift</v>
      </c>
      <c r="B10" s="25">
        <f>'Artist Analysis'!C9</f>
        <v>4.7699999999999996</v>
      </c>
      <c r="D10" t="str">
        <f>'Genre Analysis'!A9</f>
        <v>Hip-Hop</v>
      </c>
      <c r="E10" s="25">
        <f>'Genre Analysis'!C9</f>
        <v>11.25</v>
      </c>
      <c r="G10" s="91" t="str">
        <f>'Year Trend'!A9</f>
        <v>2020-an</v>
      </c>
      <c r="H10" s="92">
        <f>'Year Trend'!C9</f>
        <v>54.39</v>
      </c>
      <c r="J10" s="91" t="str">
        <f>'Audio Features'!A10</f>
        <v>150+</v>
      </c>
      <c r="K10" s="91">
        <f>'Audio Features'!B10</f>
        <v>17</v>
      </c>
      <c r="M10">
        <f>'Raw Data'!F9</f>
        <v>100</v>
      </c>
      <c r="N10" s="25">
        <f>'Raw Data'!D9</f>
        <v>2.72</v>
      </c>
    </row>
    <row r="11" spans="1:18" ht="15" customHeight="1" x14ac:dyDescent="0.3">
      <c r="A11" t="str">
        <f>'Artist Analysis'!A10</f>
        <v>Ariana Grande</v>
      </c>
      <c r="B11" s="25">
        <f>'Artist Analysis'!C10</f>
        <v>3.6100000000000003</v>
      </c>
      <c r="D11" t="str">
        <f>'Genre Analysis'!A10</f>
        <v>Pop Rock</v>
      </c>
      <c r="E11" s="25">
        <f>'Genre Analysis'!C10</f>
        <v>7.68</v>
      </c>
      <c r="M11">
        <f>'Raw Data'!F10</f>
        <v>170</v>
      </c>
      <c r="N11" s="25">
        <f>'Raw Data'!D10</f>
        <v>2.67</v>
      </c>
    </row>
    <row r="12" spans="1:18" ht="15" customHeight="1" x14ac:dyDescent="0.3">
      <c r="A12" t="str">
        <f>'Artist Analysis'!A11</f>
        <v>Miley Cyrus</v>
      </c>
      <c r="B12" s="25">
        <f>'Artist Analysis'!C11</f>
        <v>3.24</v>
      </c>
      <c r="D12" t="str">
        <f>'Genre Analysis'!A11</f>
        <v>EDM/Pop</v>
      </c>
      <c r="E12" s="25">
        <f>'Genre Analysis'!C11</f>
        <v>7.1400000000000006</v>
      </c>
      <c r="M12">
        <f>'Raw Data'!F11</f>
        <v>125</v>
      </c>
      <c r="N12" s="25">
        <f>'Raw Data'!D11</f>
        <v>2.56</v>
      </c>
    </row>
    <row r="13" spans="1:18" ht="15" customHeight="1" x14ac:dyDescent="0.3">
      <c r="A13" t="str">
        <f>'Artist Analysis'!A12</f>
        <v>Olivia Rodrigo</v>
      </c>
      <c r="B13" s="25">
        <f>'Artist Analysis'!C12</f>
        <v>3.22</v>
      </c>
      <c r="D13" t="str">
        <f>'Genre Analysis'!A12</f>
        <v>Afrobeats/Pop</v>
      </c>
      <c r="E13" s="25">
        <f>'Genre Analysis'!C12</f>
        <v>4.54</v>
      </c>
      <c r="M13">
        <f>'Raw Data'!F12</f>
        <v>159</v>
      </c>
      <c r="N13" s="25">
        <f>'Raw Data'!D12</f>
        <v>2.52</v>
      </c>
    </row>
    <row r="14" spans="1:18" ht="15" customHeight="1" x14ac:dyDescent="0.3">
      <c r="A14" t="str">
        <f>'Artist Analysis'!A13</f>
        <v>Justin Bieber</v>
      </c>
      <c r="B14" s="25">
        <f>'Artist Analysis'!C13</f>
        <v>2.79</v>
      </c>
      <c r="D14" s="91" t="str">
        <f>'Genre Analysis'!A13</f>
        <v>Lainnya (31 genre niche)</v>
      </c>
      <c r="E14" s="92">
        <f>'Genre Analysis'!C13</f>
        <v>62.239999999999924</v>
      </c>
      <c r="M14">
        <f>'Raw Data'!F13</f>
        <v>98</v>
      </c>
      <c r="N14" s="25">
        <f>'Raw Data'!D13</f>
        <v>2.4900000000000002</v>
      </c>
    </row>
    <row r="15" spans="1:18" ht="15" customHeight="1" x14ac:dyDescent="0.3">
      <c r="A15" s="91" t="str">
        <f>'Artist Analysis'!A14</f>
        <v>Post Malone &amp; Swae Lee</v>
      </c>
      <c r="B15" s="92">
        <f>'Artist Analysis'!C14</f>
        <v>2.78</v>
      </c>
      <c r="M15">
        <f>'Raw Data'!F14</f>
        <v>100</v>
      </c>
      <c r="N15" s="25">
        <f>'Raw Data'!D14</f>
        <v>2.4500000000000002</v>
      </c>
    </row>
    <row r="16" spans="1:18" ht="15" customHeight="1" x14ac:dyDescent="0.3">
      <c r="M16">
        <f>'Raw Data'!F15</f>
        <v>117</v>
      </c>
      <c r="N16" s="25">
        <f>'Raw Data'!D15</f>
        <v>2.42</v>
      </c>
    </row>
    <row r="17" spans="13:14" ht="15" customHeight="1" x14ac:dyDescent="0.3">
      <c r="M17">
        <f>'Raw Data'!F16</f>
        <v>95</v>
      </c>
      <c r="N17" s="25">
        <f>'Raw Data'!D16</f>
        <v>2.38</v>
      </c>
    </row>
    <row r="18" spans="13:14" ht="15" customHeight="1" x14ac:dyDescent="0.3">
      <c r="M18">
        <f>'Raw Data'!F17</f>
        <v>95</v>
      </c>
      <c r="N18" s="25">
        <f>'Raw Data'!D17</f>
        <v>2.35</v>
      </c>
    </row>
    <row r="19" spans="13:14" ht="15" customHeight="1" x14ac:dyDescent="0.3">
      <c r="M19">
        <f>'Raw Data'!F18</f>
        <v>103</v>
      </c>
      <c r="N19" s="25">
        <f>'Raw Data'!D18</f>
        <v>2.3199999999999998</v>
      </c>
    </row>
    <row r="20" spans="13:14" ht="15" customHeight="1" x14ac:dyDescent="0.3">
      <c r="M20">
        <f>'Raw Data'!F19</f>
        <v>80</v>
      </c>
      <c r="N20" s="25">
        <f>'Raw Data'!D19</f>
        <v>1.84</v>
      </c>
    </row>
    <row r="21" spans="13:14" ht="15" customHeight="1" x14ac:dyDescent="0.3">
      <c r="M21">
        <f>'Raw Data'!F20</f>
        <v>135</v>
      </c>
      <c r="N21" s="25">
        <f>'Raw Data'!D20</f>
        <v>2.17</v>
      </c>
    </row>
    <row r="22" spans="13:14" ht="15" customHeight="1" x14ac:dyDescent="0.3">
      <c r="M22">
        <f>'Raw Data'!F21</f>
        <v>73</v>
      </c>
      <c r="N22" s="25">
        <f>'Raw Data'!D21</f>
        <v>2.14</v>
      </c>
    </row>
    <row r="23" spans="13:14" ht="15" customHeight="1" x14ac:dyDescent="0.3">
      <c r="M23">
        <f>'Raw Data'!F22</f>
        <v>121</v>
      </c>
      <c r="N23" s="25">
        <f>'Raw Data'!D22</f>
        <v>2.11</v>
      </c>
    </row>
    <row r="24" spans="13:14" ht="15" customHeight="1" x14ac:dyDescent="0.3">
      <c r="M24">
        <f>'Raw Data'!F23</f>
        <v>91</v>
      </c>
      <c r="N24" s="25">
        <f>'Raw Data'!D23</f>
        <v>2.08</v>
      </c>
    </row>
    <row r="25" spans="13:14" ht="15" customHeight="1" x14ac:dyDescent="0.3">
      <c r="M25">
        <f>'Raw Data'!F24</f>
        <v>96</v>
      </c>
      <c r="N25" s="25">
        <f>'Raw Data'!D24</f>
        <v>2.0499999999999998</v>
      </c>
    </row>
    <row r="26" spans="13:14" ht="15" customHeight="1" x14ac:dyDescent="0.3">
      <c r="M26">
        <f>'Raw Data'!F25</f>
        <v>174</v>
      </c>
      <c r="N26" s="25">
        <f>'Raw Data'!D25</f>
        <v>2.02</v>
      </c>
    </row>
    <row r="27" spans="13:14" ht="15" customHeight="1" x14ac:dyDescent="0.3">
      <c r="M27">
        <f>'Raw Data'!F26</f>
        <v>114</v>
      </c>
      <c r="N27" s="25">
        <f>'Raw Data'!D26</f>
        <v>1.99</v>
      </c>
    </row>
    <row r="28" spans="13:14" ht="15" customHeight="1" x14ac:dyDescent="0.3">
      <c r="M28">
        <f>'Raw Data'!F27</f>
        <v>118</v>
      </c>
      <c r="N28" s="25">
        <f>'Raw Data'!D27</f>
        <v>1.96</v>
      </c>
    </row>
    <row r="29" spans="13:14" ht="15" customHeight="1" x14ac:dyDescent="0.3">
      <c r="M29">
        <f>'Raw Data'!F28</f>
        <v>122</v>
      </c>
      <c r="N29" s="25">
        <f>'Raw Data'!D28</f>
        <v>1.94</v>
      </c>
    </row>
    <row r="30" spans="13:14" ht="15" customHeight="1" x14ac:dyDescent="0.3">
      <c r="M30">
        <f>'Raw Data'!F29</f>
        <v>84</v>
      </c>
      <c r="N30" s="25">
        <f>'Raw Data'!D29</f>
        <v>1.91</v>
      </c>
    </row>
    <row r="31" spans="13:14" ht="15" customHeight="1" x14ac:dyDescent="0.3">
      <c r="M31">
        <f>'Raw Data'!F30</f>
        <v>95</v>
      </c>
      <c r="N31" s="25">
        <f>'Raw Data'!D30</f>
        <v>1.88</v>
      </c>
    </row>
    <row r="32" spans="13:14" ht="15" customHeight="1" x14ac:dyDescent="0.3">
      <c r="M32">
        <f>'Raw Data'!F31</f>
        <v>106</v>
      </c>
      <c r="N32" s="25">
        <f>'Raw Data'!D31</f>
        <v>1.82</v>
      </c>
    </row>
    <row r="33" spans="13:14" ht="15" customHeight="1" x14ac:dyDescent="0.3">
      <c r="M33">
        <f>'Raw Data'!F32</f>
        <v>97</v>
      </c>
      <c r="N33" s="25">
        <f>'Raw Data'!D32</f>
        <v>2.19</v>
      </c>
    </row>
    <row r="34" spans="13:14" ht="15" customHeight="1" x14ac:dyDescent="0.3">
      <c r="M34">
        <f>'Raw Data'!F33</f>
        <v>118</v>
      </c>
      <c r="N34" s="25">
        <f>'Raw Data'!D33</f>
        <v>2.08</v>
      </c>
    </row>
    <row r="35" spans="13:14" ht="15" customHeight="1" x14ac:dyDescent="0.3">
      <c r="M35">
        <f>'Raw Data'!F34</f>
        <v>95</v>
      </c>
      <c r="N35" s="25">
        <f>'Raw Data'!D34</f>
        <v>2.06</v>
      </c>
    </row>
    <row r="36" spans="13:14" ht="15" customHeight="1" x14ac:dyDescent="0.3">
      <c r="M36">
        <f>'Raw Data'!F35</f>
        <v>95</v>
      </c>
      <c r="N36" s="25">
        <f>'Raw Data'!D35</f>
        <v>2.04</v>
      </c>
    </row>
    <row r="37" spans="13:14" ht="15" customHeight="1" x14ac:dyDescent="0.3">
      <c r="M37">
        <f>'Raw Data'!F36</f>
        <v>115</v>
      </c>
      <c r="N37" s="25">
        <f>'Raw Data'!D36</f>
        <v>1.73</v>
      </c>
    </row>
    <row r="38" spans="13:14" ht="15" customHeight="1" x14ac:dyDescent="0.3">
      <c r="M38">
        <f>'Raw Data'!F37</f>
        <v>124</v>
      </c>
      <c r="N38" s="25">
        <f>'Raw Data'!D37</f>
        <v>1.67</v>
      </c>
    </row>
    <row r="39" spans="13:14" ht="15" customHeight="1" x14ac:dyDescent="0.3">
      <c r="M39">
        <f>'Raw Data'!F38</f>
        <v>170</v>
      </c>
      <c r="N39" s="25">
        <f>'Raw Data'!D38</f>
        <v>1.92</v>
      </c>
    </row>
    <row r="40" spans="13:14" ht="15" customHeight="1" x14ac:dyDescent="0.3">
      <c r="M40">
        <f>'Raw Data'!F39</f>
        <v>178</v>
      </c>
      <c r="N40" s="25">
        <f>'Raw Data'!D39</f>
        <v>1.35</v>
      </c>
    </row>
    <row r="41" spans="13:14" ht="15" customHeight="1" x14ac:dyDescent="0.3">
      <c r="M41">
        <f>'Raw Data'!F40</f>
        <v>105</v>
      </c>
      <c r="N41" s="25">
        <f>'Raw Data'!D40</f>
        <v>1.33</v>
      </c>
    </row>
    <row r="42" spans="13:14" ht="15" customHeight="1" x14ac:dyDescent="0.3">
      <c r="M42">
        <f>'Raw Data'!F41</f>
        <v>62</v>
      </c>
      <c r="N42" s="25">
        <f>'Raw Data'!D41</f>
        <v>1.22</v>
      </c>
    </row>
    <row r="43" spans="13:14" ht="15" customHeight="1" x14ac:dyDescent="0.3">
      <c r="M43">
        <f>'Raw Data'!F42</f>
        <v>171</v>
      </c>
      <c r="N43" s="25">
        <f>'Raw Data'!D42</f>
        <v>1.55</v>
      </c>
    </row>
    <row r="44" spans="13:14" ht="15" customHeight="1" x14ac:dyDescent="0.3">
      <c r="M44">
        <f>'Raw Data'!F43</f>
        <v>118</v>
      </c>
      <c r="N44" s="25">
        <f>'Raw Data'!D43</f>
        <v>1.42</v>
      </c>
    </row>
    <row r="45" spans="13:14" ht="15" customHeight="1" x14ac:dyDescent="0.3">
      <c r="M45">
        <f>'Raw Data'!F44</f>
        <v>117</v>
      </c>
      <c r="N45" s="25">
        <f>'Raw Data'!D44</f>
        <v>0.68</v>
      </c>
    </row>
    <row r="46" spans="13:14" ht="15" customHeight="1" x14ac:dyDescent="0.3">
      <c r="M46">
        <f>'Raw Data'!F45</f>
        <v>104</v>
      </c>
      <c r="N46" s="25">
        <f>'Raw Data'!D45</f>
        <v>1.36</v>
      </c>
    </row>
    <row r="47" spans="13:14" ht="15" customHeight="1" x14ac:dyDescent="0.3">
      <c r="M47">
        <f>'Raw Data'!F46</f>
        <v>136</v>
      </c>
      <c r="N47" s="25">
        <f>'Raw Data'!D46</f>
        <v>1.34</v>
      </c>
    </row>
    <row r="48" spans="13:14" ht="15" customHeight="1" x14ac:dyDescent="0.3">
      <c r="M48">
        <f>'Raw Data'!F47</f>
        <v>112</v>
      </c>
      <c r="N48" s="25">
        <f>'Raw Data'!D47</f>
        <v>1.1200000000000001</v>
      </c>
    </row>
    <row r="49" spans="13:14" ht="15" customHeight="1" x14ac:dyDescent="0.3">
      <c r="M49">
        <f>'Raw Data'!F48</f>
        <v>101</v>
      </c>
      <c r="N49" s="25">
        <f>'Raw Data'!D48</f>
        <v>0.65</v>
      </c>
    </row>
    <row r="50" spans="13:14" ht="15" customHeight="1" x14ac:dyDescent="0.3">
      <c r="M50">
        <f>'Raw Data'!F49</f>
        <v>166</v>
      </c>
      <c r="N50" s="25">
        <f>'Raw Data'!D49</f>
        <v>1.08</v>
      </c>
    </row>
    <row r="51" spans="13:14" ht="15" customHeight="1" x14ac:dyDescent="0.3">
      <c r="M51">
        <f>'Raw Data'!F50</f>
        <v>150</v>
      </c>
      <c r="N51" s="25">
        <f>'Raw Data'!D50</f>
        <v>1.96</v>
      </c>
    </row>
    <row r="52" spans="13:14" ht="15" customHeight="1" x14ac:dyDescent="0.3">
      <c r="M52">
        <f>'Raw Data'!F51</f>
        <v>186</v>
      </c>
      <c r="N52" s="25">
        <f>'Raw Data'!D51</f>
        <v>1.82</v>
      </c>
    </row>
    <row r="53" spans="13:14" ht="15" customHeight="1" x14ac:dyDescent="0.3">
      <c r="M53">
        <f>'Raw Data'!F52</f>
        <v>130</v>
      </c>
      <c r="N53" s="25">
        <f>'Raw Data'!D52</f>
        <v>1.79</v>
      </c>
    </row>
    <row r="54" spans="13:14" ht="15" customHeight="1" x14ac:dyDescent="0.3">
      <c r="M54">
        <f>'Raw Data'!F53</f>
        <v>140</v>
      </c>
      <c r="N54" s="25">
        <f>'Raw Data'!D53</f>
        <v>1.76</v>
      </c>
    </row>
    <row r="55" spans="13:14" ht="15" customHeight="1" x14ac:dyDescent="0.3">
      <c r="M55">
        <f>'Raw Data'!F54</f>
        <v>120</v>
      </c>
      <c r="N55" s="25">
        <f>'Raw Data'!D54</f>
        <v>1.44</v>
      </c>
    </row>
    <row r="56" spans="13:14" ht="15" customHeight="1" x14ac:dyDescent="0.3">
      <c r="M56">
        <f>'Raw Data'!F55</f>
        <v>90</v>
      </c>
      <c r="N56" s="25">
        <f>'Raw Data'!D55</f>
        <v>0.66</v>
      </c>
    </row>
    <row r="57" spans="13:14" ht="15" customHeight="1" x14ac:dyDescent="0.3">
      <c r="M57">
        <f>'Raw Data'!F56</f>
        <v>88</v>
      </c>
      <c r="N57" s="25">
        <f>'Raw Data'!D56</f>
        <v>1.24</v>
      </c>
    </row>
    <row r="58" spans="13:14" ht="15" customHeight="1" x14ac:dyDescent="0.3">
      <c r="M58">
        <f>'Raw Data'!F57</f>
        <v>168</v>
      </c>
      <c r="N58" s="25">
        <f>'Raw Data'!D57</f>
        <v>2.29</v>
      </c>
    </row>
    <row r="59" spans="13:14" ht="15" customHeight="1" x14ac:dyDescent="0.3">
      <c r="M59">
        <f>'Raw Data'!F58</f>
        <v>126</v>
      </c>
      <c r="N59" s="25">
        <f>'Raw Data'!D58</f>
        <v>1.22</v>
      </c>
    </row>
    <row r="60" spans="13:14" ht="15" customHeight="1" x14ac:dyDescent="0.3">
      <c r="M60">
        <f>'Raw Data'!F59</f>
        <v>110</v>
      </c>
      <c r="N60" s="25">
        <f>'Raw Data'!D59</f>
        <v>0.66</v>
      </c>
    </row>
    <row r="61" spans="13:14" ht="15" customHeight="1" x14ac:dyDescent="0.3">
      <c r="M61">
        <f>'Raw Data'!F60</f>
        <v>82</v>
      </c>
      <c r="N61" s="25">
        <f>'Raw Data'!D60</f>
        <v>1.54</v>
      </c>
    </row>
    <row r="62" spans="13:14" ht="15" customHeight="1" x14ac:dyDescent="0.3">
      <c r="M62">
        <f>'Raw Data'!F61</f>
        <v>191</v>
      </c>
      <c r="N62" s="25">
        <f>'Raw Data'!D61</f>
        <v>1.52</v>
      </c>
    </row>
    <row r="63" spans="13:14" ht="15" customHeight="1" x14ac:dyDescent="0.3">
      <c r="M63">
        <f>'Raw Data'!F62</f>
        <v>131</v>
      </c>
      <c r="N63" s="25">
        <f>'Raw Data'!D62</f>
        <v>1.25</v>
      </c>
    </row>
    <row r="64" spans="13:14" ht="15" customHeight="1" x14ac:dyDescent="0.3">
      <c r="M64">
        <f>'Raw Data'!F63</f>
        <v>78</v>
      </c>
      <c r="N64" s="25">
        <f>'Raw Data'!D63</f>
        <v>1.49</v>
      </c>
    </row>
    <row r="65" spans="13:14" ht="15" customHeight="1" x14ac:dyDescent="0.3">
      <c r="M65">
        <f>'Raw Data'!F64</f>
        <v>86</v>
      </c>
      <c r="N65" s="25">
        <f>'Raw Data'!D64</f>
        <v>1.46</v>
      </c>
    </row>
    <row r="66" spans="13:14" ht="15" customHeight="1" x14ac:dyDescent="0.3">
      <c r="M66">
        <f>'Raw Data'!F65</f>
        <v>150</v>
      </c>
      <c r="N66" s="25">
        <f>'Raw Data'!D65</f>
        <v>1.22</v>
      </c>
    </row>
    <row r="67" spans="13:14" ht="15" customHeight="1" x14ac:dyDescent="0.3">
      <c r="M67">
        <f>'Raw Data'!F66</f>
        <v>96</v>
      </c>
      <c r="N67" s="25">
        <f>'Raw Data'!D66</f>
        <v>2.25</v>
      </c>
    </row>
    <row r="68" spans="13:14" ht="15" customHeight="1" x14ac:dyDescent="0.3">
      <c r="M68">
        <f>'Raw Data'!F67</f>
        <v>102</v>
      </c>
      <c r="N68" s="25">
        <f>'Raw Data'!D67</f>
        <v>2.13</v>
      </c>
    </row>
    <row r="69" spans="13:14" ht="15" customHeight="1" x14ac:dyDescent="0.3">
      <c r="M69">
        <f>'Raw Data'!F68</f>
        <v>130</v>
      </c>
      <c r="N69" s="25">
        <f>'Raw Data'!D68</f>
        <v>2.02</v>
      </c>
    </row>
    <row r="70" spans="13:14" ht="15" customHeight="1" x14ac:dyDescent="0.3">
      <c r="M70">
        <f>'Raw Data'!F69</f>
        <v>103</v>
      </c>
      <c r="N70" s="25">
        <f>'Raw Data'!D69</f>
        <v>1.29</v>
      </c>
    </row>
    <row r="71" spans="13:14" ht="15" customHeight="1" x14ac:dyDescent="0.3">
      <c r="M71">
        <f>'Raw Data'!F70</f>
        <v>144</v>
      </c>
      <c r="N71" s="25">
        <f>'Raw Data'!D70</f>
        <v>1.85</v>
      </c>
    </row>
    <row r="72" spans="13:14" ht="15" customHeight="1" x14ac:dyDescent="0.3">
      <c r="M72">
        <f>'Raw Data'!F71</f>
        <v>98</v>
      </c>
      <c r="N72" s="25">
        <f>'Raw Data'!D71</f>
        <v>2.2200000000000002</v>
      </c>
    </row>
    <row r="73" spans="13:14" ht="15" customHeight="1" x14ac:dyDescent="0.3">
      <c r="M73">
        <f>'Raw Data'!F72</f>
        <v>79</v>
      </c>
      <c r="N73" s="25">
        <f>'Raw Data'!D72</f>
        <v>1.21</v>
      </c>
    </row>
    <row r="74" spans="13:14" ht="15" customHeight="1" x14ac:dyDescent="0.3">
      <c r="M74">
        <f>'Raw Data'!F73</f>
        <v>72</v>
      </c>
      <c r="N74" s="25">
        <f>'Raw Data'!D73</f>
        <v>1.28</v>
      </c>
    </row>
    <row r="75" spans="13:14" ht="15" customHeight="1" x14ac:dyDescent="0.3">
      <c r="M75">
        <f>'Raw Data'!F74</f>
        <v>98</v>
      </c>
      <c r="N75" s="25">
        <f>'Raw Data'!D74</f>
        <v>1.88</v>
      </c>
    </row>
    <row r="76" spans="13:14" ht="15" customHeight="1" x14ac:dyDescent="0.3">
      <c r="M76">
        <f>'Raw Data'!F75</f>
        <v>84</v>
      </c>
      <c r="N76" s="25">
        <f>'Raw Data'!D75</f>
        <v>2.16</v>
      </c>
    </row>
    <row r="77" spans="13:14" ht="15" customHeight="1" x14ac:dyDescent="0.3">
      <c r="M77">
        <f>'Raw Data'!F76</f>
        <v>144</v>
      </c>
      <c r="N77" s="25">
        <f>'Raw Data'!D76</f>
        <v>1.59</v>
      </c>
    </row>
    <row r="78" spans="13:14" ht="15" customHeight="1" x14ac:dyDescent="0.3">
      <c r="M78">
        <f>'Raw Data'!F77</f>
        <v>138</v>
      </c>
      <c r="N78" s="25">
        <f>'Raw Data'!D77</f>
        <v>1.24</v>
      </c>
    </row>
    <row r="79" spans="13:14" ht="15" customHeight="1" x14ac:dyDescent="0.3">
      <c r="M79">
        <f>'Raw Data'!F78</f>
        <v>97</v>
      </c>
      <c r="N79" s="25">
        <f>'Raw Data'!D78</f>
        <v>0.64</v>
      </c>
    </row>
    <row r="80" spans="13:14" ht="15" customHeight="1" x14ac:dyDescent="0.3">
      <c r="M80">
        <f>'Raw Data'!F79</f>
        <v>97</v>
      </c>
      <c r="N80" s="25">
        <f>'Raw Data'!D79</f>
        <v>1.27</v>
      </c>
    </row>
    <row r="81" spans="13:14" ht="15" customHeight="1" x14ac:dyDescent="0.3">
      <c r="M81">
        <f>'Raw Data'!F80</f>
        <v>107</v>
      </c>
      <c r="N81" s="25">
        <f>'Raw Data'!D80</f>
        <v>1.46</v>
      </c>
    </row>
    <row r="82" spans="13:14" ht="15" customHeight="1" x14ac:dyDescent="0.3">
      <c r="M82">
        <f>'Raw Data'!F81</f>
        <v>145</v>
      </c>
      <c r="N82" s="25">
        <f>'Raw Data'!D81</f>
        <v>1.26</v>
      </c>
    </row>
    <row r="83" spans="13:14" ht="15" customHeight="1" x14ac:dyDescent="0.3">
      <c r="M83">
        <f>'Raw Data'!F82</f>
        <v>64</v>
      </c>
      <c r="N83" s="25">
        <f>'Raw Data'!D82</f>
        <v>1.38</v>
      </c>
    </row>
    <row r="84" spans="13:14" ht="15" customHeight="1" x14ac:dyDescent="0.3">
      <c r="M84">
        <f>'Raw Data'!F83</f>
        <v>77</v>
      </c>
      <c r="N84" s="25">
        <f>'Raw Data'!D83</f>
        <v>1.32</v>
      </c>
    </row>
    <row r="85" spans="13:14" ht="15" customHeight="1" x14ac:dyDescent="0.3">
      <c r="M85">
        <f>'Raw Data'!F84</f>
        <v>145</v>
      </c>
      <c r="N85" s="25">
        <f>'Raw Data'!D84</f>
        <v>0.67</v>
      </c>
    </row>
    <row r="86" spans="13:14" ht="15" customHeight="1" x14ac:dyDescent="0.3">
      <c r="M86">
        <f>'Raw Data'!F85</f>
        <v>106</v>
      </c>
      <c r="N86" s="25">
        <f>'Raw Data'!D85</f>
        <v>1.28</v>
      </c>
    </row>
    <row r="87" spans="13:14" ht="15" customHeight="1" x14ac:dyDescent="0.3">
      <c r="M87">
        <f>'Raw Data'!F86</f>
        <v>90</v>
      </c>
      <c r="N87" s="25">
        <f>'Raw Data'!D86</f>
        <v>1.25</v>
      </c>
    </row>
    <row r="88" spans="13:14" ht="15" customHeight="1" x14ac:dyDescent="0.3">
      <c r="M88">
        <f>'Raw Data'!F87</f>
        <v>86</v>
      </c>
      <c r="N88" s="25">
        <f>'Raw Data'!D87</f>
        <v>1.23</v>
      </c>
    </row>
    <row r="89" spans="13:14" ht="15" customHeight="1" x14ac:dyDescent="0.3">
      <c r="M89">
        <f>'Raw Data'!F88</f>
        <v>90</v>
      </c>
      <c r="N89" s="25">
        <f>'Raw Data'!D88</f>
        <v>1.25</v>
      </c>
    </row>
    <row r="90" spans="13:14" ht="15" customHeight="1" x14ac:dyDescent="0.3">
      <c r="M90">
        <f>'Raw Data'!F89</f>
        <v>108</v>
      </c>
      <c r="N90" s="25">
        <f>'Raw Data'!D89</f>
        <v>0.69</v>
      </c>
    </row>
    <row r="91" spans="13:14" ht="15" customHeight="1" x14ac:dyDescent="0.3">
      <c r="M91">
        <f>'Raw Data'!F90</f>
        <v>86</v>
      </c>
      <c r="N91" s="25">
        <f>'Raw Data'!D90</f>
        <v>1.48</v>
      </c>
    </row>
    <row r="92" spans="13:14" ht="15" customHeight="1" x14ac:dyDescent="0.3">
      <c r="M92">
        <f>'Raw Data'!F91</f>
        <v>80</v>
      </c>
      <c r="N92" s="25">
        <f>'Raw Data'!D91</f>
        <v>1.02</v>
      </c>
    </row>
    <row r="93" spans="13:14" ht="15" customHeight="1" x14ac:dyDescent="0.3">
      <c r="M93">
        <f>'Raw Data'!F92</f>
        <v>107</v>
      </c>
      <c r="N93" s="25">
        <f>'Raw Data'!D92</f>
        <v>1.04</v>
      </c>
    </row>
    <row r="94" spans="13:14" ht="15" customHeight="1" x14ac:dyDescent="0.3">
      <c r="M94">
        <f>'Raw Data'!F93</f>
        <v>80</v>
      </c>
      <c r="N94" s="25">
        <f>'Raw Data'!D93</f>
        <v>1.28</v>
      </c>
    </row>
    <row r="95" spans="13:14" ht="15" customHeight="1" x14ac:dyDescent="0.3">
      <c r="M95">
        <f>'Raw Data'!F94</f>
        <v>115</v>
      </c>
      <c r="N95" s="25">
        <f>'Raw Data'!D94</f>
        <v>1.43</v>
      </c>
    </row>
    <row r="96" spans="13:14" ht="15" customHeight="1" x14ac:dyDescent="0.3">
      <c r="M96">
        <f>'Raw Data'!F95</f>
        <v>139</v>
      </c>
      <c r="N96" s="25">
        <f>'Raw Data'!D95</f>
        <v>0.66</v>
      </c>
    </row>
    <row r="97" spans="13:14" ht="15" customHeight="1" x14ac:dyDescent="0.3">
      <c r="M97">
        <f>'Raw Data'!F96</f>
        <v>104</v>
      </c>
      <c r="N97" s="25">
        <f>'Raw Data'!D96</f>
        <v>1.1399999999999999</v>
      </c>
    </row>
    <row r="98" spans="13:14" ht="15" customHeight="1" x14ac:dyDescent="0.3">
      <c r="M98">
        <f>'Raw Data'!F97</f>
        <v>139</v>
      </c>
      <c r="N98" s="25">
        <f>'Raw Data'!D97</f>
        <v>1.06</v>
      </c>
    </row>
    <row r="99" spans="13:14" ht="15" customHeight="1" x14ac:dyDescent="0.3">
      <c r="M99">
        <f>'Raw Data'!F98</f>
        <v>154</v>
      </c>
      <c r="N99" s="25">
        <f>'Raw Data'!D98</f>
        <v>1.22</v>
      </c>
    </row>
    <row r="100" spans="13:14" ht="15" customHeight="1" x14ac:dyDescent="0.3">
      <c r="M100">
        <f>'Raw Data'!F99</f>
        <v>90</v>
      </c>
      <c r="N100" s="25">
        <f>'Raw Data'!D99</f>
        <v>1.18</v>
      </c>
    </row>
    <row r="101" spans="13:14" ht="15" customHeight="1" x14ac:dyDescent="0.3">
      <c r="M101">
        <f>'Raw Data'!F100</f>
        <v>143</v>
      </c>
      <c r="N101" s="25">
        <f>'Raw Data'!D100</f>
        <v>1.52</v>
      </c>
    </row>
    <row r="102" spans="13:14" ht="15" customHeight="1" x14ac:dyDescent="0.3">
      <c r="M102">
        <f>'Raw Data'!F101</f>
        <v>171</v>
      </c>
      <c r="N102" s="25">
        <f>'Raw Data'!D101</f>
        <v>1.04</v>
      </c>
    </row>
    <row r="103" spans="13:14" ht="15" customHeight="1" x14ac:dyDescent="0.3">
      <c r="M103">
        <f>'Raw Data'!F102</f>
        <v>150</v>
      </c>
      <c r="N103" s="25">
        <f>'Raw Data'!D102</f>
        <v>1.1599999999999999</v>
      </c>
    </row>
    <row r="104" spans="13:14" ht="15" customHeight="1" x14ac:dyDescent="0.3">
      <c r="M104">
        <f>'Raw Data'!F103</f>
        <v>142</v>
      </c>
      <c r="N104" s="25">
        <f>'Raw Data'!D103</f>
        <v>1.85</v>
      </c>
    </row>
    <row r="105" spans="13:14" ht="15" customHeight="1" x14ac:dyDescent="0.3">
      <c r="M105" s="91">
        <f>'Raw Data'!F104</f>
        <v>160</v>
      </c>
      <c r="N105" s="92">
        <f>'Raw Data'!D104</f>
        <v>0.66</v>
      </c>
    </row>
  </sheetData>
  <mergeCells count="8">
    <mergeCell ref="P4:R4"/>
    <mergeCell ref="A1:N1"/>
    <mergeCell ref="A4:B4"/>
    <mergeCell ref="D4:E4"/>
    <mergeCell ref="G4:H4"/>
    <mergeCell ref="J4:K4"/>
    <mergeCell ref="M4:N4"/>
    <mergeCell ref="A2:N3"/>
  </mergeCells>
  <printOptions horizontalCentered="1"/>
  <pageMargins left="0.15" right="0.15" top="0.4" bottom="0.4" header="0.511811023622047" footer="0.15"/>
  <pageSetup scale="89" fitToHeight="0" orientation="landscape" r:id="rId1"/>
  <headerFooter>
    <oddFooter>&amp;L&amp;8 &amp;K666666Rifal Azhar Permana — Spotify Music Trend Analytics&amp;R&amp;8 &amp;K666666Page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Cover</vt:lpstr>
      <vt:lpstr>Dashboard</vt:lpstr>
      <vt:lpstr>Raw Data</vt:lpstr>
      <vt:lpstr>Artist Analysis</vt:lpstr>
      <vt:lpstr>Genre Analysis</vt:lpstr>
      <vt:lpstr>Audio Features</vt:lpstr>
      <vt:lpstr>Year Trend</vt:lpstr>
      <vt:lpstr>Summary</vt:lpstr>
      <vt:lpstr>Calculations</vt:lpstr>
      <vt:lpstr>'Artist Analysis'!Print_Area</vt:lpstr>
      <vt:lpstr>'Audio Features'!Print_Area</vt:lpstr>
      <vt:lpstr>Calculations!Print_Area</vt:lpstr>
      <vt:lpstr>Cover!Print_Area</vt:lpstr>
      <vt:lpstr>Dashboard!Print_Area</vt:lpstr>
      <vt:lpstr>'Genre Analysis'!Print_Area</vt:lpstr>
      <vt:lpstr>'Raw Data'!Print_Area</vt:lpstr>
      <vt:lpstr>Summary!Print_Area</vt:lpstr>
      <vt:lpstr>'Year Trend'!Print_Area</vt:lpstr>
      <vt:lpstr>'Artist Analysis'!Print_Titles</vt:lpstr>
      <vt:lpstr>Calculations!Print_Titles</vt:lpstr>
      <vt:lpstr>'Genre Analysis'!Print_Titles</vt:lpstr>
      <vt:lpstr>'Raw 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RIFAL AZHAR PERMANA</cp:lastModifiedBy>
  <cp:revision>35</cp:revision>
  <cp:lastPrinted>2026-08-15T07:35:24Z</cp:lastPrinted>
  <dcterms:created xsi:type="dcterms:W3CDTF">2026-08-13T22:35:18Z</dcterms:created>
  <dcterms:modified xsi:type="dcterms:W3CDTF">2026-08-15T07:50:45Z</dcterms:modified>
  <dc:language>en-US</dc:language>
</cp:coreProperties>
</file>